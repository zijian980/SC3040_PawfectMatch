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 Register" sheetId="1" r:id="rId4"/>
    <sheet state="visible" name="Unsorted Risk Register" sheetId="2" r:id="rId5"/>
    <sheet state="visible" name="Risk Matrix" sheetId="3" r:id="rId6"/>
    <sheet state="visible" name="Top 10 Risks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Help to assign ples
	-Chloie Tan</t>
      </text>
    </comment>
  </commentList>
</comments>
</file>

<file path=xl/sharedStrings.xml><?xml version="1.0" encoding="utf-8"?>
<sst xmlns="http://schemas.openxmlformats.org/spreadsheetml/2006/main" count="591" uniqueCount="230">
  <si>
    <t>No.</t>
  </si>
  <si>
    <t>Rank</t>
  </si>
  <si>
    <t>Risk</t>
  </si>
  <si>
    <t>Description</t>
  </si>
  <si>
    <t>Category</t>
  </si>
  <si>
    <t>Root Cause</t>
  </si>
  <si>
    <t>Triggers</t>
  </si>
  <si>
    <t>Potential Responses</t>
  </si>
  <si>
    <t>Risk Owner</t>
  </si>
  <si>
    <t>Probability</t>
  </si>
  <si>
    <t>Impact</t>
  </si>
  <si>
    <t>Status</t>
  </si>
  <si>
    <t>Probability Score</t>
  </si>
  <si>
    <t>Impact Score</t>
  </si>
  <si>
    <t>Risk Score</t>
  </si>
  <si>
    <t>R03</t>
  </si>
  <si>
    <t>Competitor apps</t>
  </si>
  <si>
    <t>Platforms like PetBacker and Pawshake already exist with market share</t>
  </si>
  <si>
    <t>Competitors 
(Business)</t>
  </si>
  <si>
    <t>Strong existing competitors with more features and funding</t>
  </si>
  <si>
    <t>Users trust and prefer existing apps</t>
  </si>
  <si>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Focus on niche differentiation, local market focus</t>
    </r>
  </si>
  <si>
    <t>Chloie</t>
  </si>
  <si>
    <t>Likely</t>
  </si>
  <si>
    <t>Major</t>
  </si>
  <si>
    <t>Open</t>
  </si>
  <si>
    <t>R08</t>
  </si>
  <si>
    <t>Critical software bugs</t>
  </si>
  <si>
    <t>Defects break major flows or data</t>
  </si>
  <si>
    <t>Software
(Technical)</t>
  </si>
  <si>
    <t>Inadequate testing</t>
  </si>
  <si>
    <t>Crashes or major bugs</t>
  </si>
  <si>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Unit and integration tests, peer reviews, bug tracking</t>
    </r>
  </si>
  <si>
    <t>Zi Jian</t>
  </si>
  <si>
    <t>In Progress</t>
  </si>
  <si>
    <t>R25</t>
  </si>
  <si>
    <t>Scope Creep</t>
  </si>
  <si>
    <t>Uncontrolled scope growth mid-sprint</t>
  </si>
  <si>
    <t>Scope Creep
(Project Management)</t>
  </si>
  <si>
    <t>Weak change control</t>
  </si>
  <si>
    <t>Adhoc feature requests</t>
  </si>
  <si>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Apply change request approval process</t>
    </r>
  </si>
  <si>
    <t>Quang</t>
  </si>
  <si>
    <t>R01</t>
  </si>
  <si>
    <t>Low adoption due to poor usability</t>
  </si>
  <si>
    <t>Users may not use the app if onboarding or navigation is confusing</t>
  </si>
  <si>
    <t>Customer Adoption
(Business)</t>
  </si>
  <si>
    <t>Weak UI/UX design, no usability testing conducted</t>
  </si>
  <si>
    <t>Drop-off during sign up, low retention</t>
  </si>
  <si>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Conduct usability testing, simplify onboarding, gather feedback</t>
    </r>
  </si>
  <si>
    <t>Moderate</t>
  </si>
  <si>
    <t>R04</t>
  </si>
  <si>
    <t>Limited budget for tools</t>
  </si>
  <si>
    <t>Budget limits restrict paid APIs or hosting services needed for final delivery</t>
  </si>
  <si>
    <t>Cash Flow
(Business)</t>
  </si>
  <si>
    <t>Insufficient funds</t>
  </si>
  <si>
    <t>Blocked access to tools</t>
  </si>
  <si>
    <r>
      <rPr>
        <rFont val="Calibri"/>
        <b/>
        <color theme="1"/>
        <sz val="12.0"/>
      </rPr>
      <t>Mitigate:</t>
    </r>
    <r>
      <rPr>
        <rFont val="Calibri"/>
        <b val="0"/>
        <color theme="1"/>
        <sz val="12.0"/>
      </rPr>
      <t xml:space="preserve"> Use open-source tools and student licenses</t>
    </r>
  </si>
  <si>
    <t>Monitoring</t>
  </si>
  <si>
    <t>R07</t>
  </si>
  <si>
    <t>Deployment environment failure</t>
  </si>
  <si>
    <t>Hosting/misconfiguration will cause downtime near demo/submission</t>
  </si>
  <si>
    <t>Hardware
(Technical)</t>
  </si>
  <si>
    <t>Misconfigured pipeline/host</t>
  </si>
  <si>
    <t>Unavailable app</t>
  </si>
  <si>
    <r>
      <rPr>
        <rFont val="Calibri"/>
        <b/>
        <color theme="1"/>
        <sz val="12.0"/>
      </rPr>
      <t>Mitigate:</t>
    </r>
    <r>
      <rPr>
        <rFont val="Calibri"/>
        <b val="0"/>
        <color theme="1"/>
        <sz val="12.0"/>
      </rPr>
      <t xml:space="preserve"> Conduct early deployment tests and maintain working backups</t>
    </r>
  </si>
  <si>
    <t>Anthony</t>
  </si>
  <si>
    <t>Possible</t>
  </si>
  <si>
    <t>R11</t>
  </si>
  <si>
    <t>API integration failure</t>
  </si>
  <si>
    <t>Incorrect endpoints or API calls or data handling will cause errors between modules</t>
  </si>
  <si>
    <t>Integration
(Technical)</t>
  </si>
  <si>
    <t>Mismatched interfaces</t>
  </si>
  <si>
    <t>Broken screens</t>
  </si>
  <si>
    <r>
      <rPr>
        <rFont val="Calibri"/>
        <b/>
        <color theme="1"/>
        <sz val="12.0"/>
      </rPr>
      <t>Mitigate:</t>
    </r>
    <r>
      <rPr>
        <rFont val="Calibri"/>
        <b val="0"/>
        <color theme="1"/>
        <sz val="12.0"/>
      </rPr>
      <t xml:space="preserve"> Conduct API integration tests with mock data</t>
    </r>
  </si>
  <si>
    <t>R16</t>
  </si>
  <si>
    <t>Lack of requirement validation</t>
  </si>
  <si>
    <t>Wrong/partial features delivered/built in final product</t>
  </si>
  <si>
    <t>User Support
(Organizational)</t>
  </si>
  <si>
    <t>Skipped validation</t>
  </si>
  <si>
    <t>Rework and low satisfaction</t>
  </si>
  <si>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Validate requirements with stakeholder during lab sessions</t>
    </r>
  </si>
  <si>
    <t>Athena</t>
  </si>
  <si>
    <t>R17</t>
  </si>
  <si>
    <t>Imbalanced workload</t>
  </si>
  <si>
    <t>Some members may be overloaded with work causing burnouts and delays in delivery</t>
  </si>
  <si>
    <t>Team Support
(Organizational)</t>
  </si>
  <si>
    <t>Poor task allocation</t>
  </si>
  <si>
    <t>Missed tasks</t>
  </si>
  <si>
    <r>
      <rPr>
        <rFont val="Calibri"/>
        <b/>
        <color theme="1"/>
        <sz val="12.0"/>
      </rPr>
      <t>Mitigate:</t>
    </r>
    <r>
      <rPr>
        <rFont val="Calibri"/>
        <b val="0"/>
        <color theme="1"/>
        <sz val="12.0"/>
      </rPr>
      <t xml:space="preserve"> Track workloads, redistribute tasks accordingly</t>
    </r>
  </si>
  <si>
    <t>R20</t>
  </si>
  <si>
    <t>Underestimation of effort</t>
  </si>
  <si>
    <t>Tasks taking longer than planned</t>
  </si>
  <si>
    <t>Estimates
(Project Management)</t>
  </si>
  <si>
    <t>Optimistic estimates</t>
  </si>
  <si>
    <t>Sprint spillover</t>
  </si>
  <si>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Re-estimate based on past sprints, add buffer for more critical tasks</t>
    </r>
  </si>
  <si>
    <t>Nelly</t>
  </si>
  <si>
    <t>R23</t>
  </si>
  <si>
    <t>Overlapping module deadlines</t>
  </si>
  <si>
    <t>Bottlenecks create merge/integration difficulties</t>
  </si>
  <si>
    <t>Schedule
(Project Management)</t>
  </si>
  <si>
    <t>Poor sequencing</t>
  </si>
  <si>
    <t>Merge conflicts</t>
  </si>
  <si>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Stagger deadlines, use Gantt for schedule tracking</t>
    </r>
  </si>
  <si>
    <t>R24</t>
  </si>
  <si>
    <t>Missed lab submission deadlines</t>
  </si>
  <si>
    <t>Overload or slippage leading to late submission</t>
  </si>
  <si>
    <t>Tight timeline</t>
  </si>
  <si>
    <t>Last-minute work</t>
  </si>
  <si>
    <r>
      <rPr>
        <rFont val="Calibri"/>
        <b/>
        <color theme="1"/>
        <sz val="12.0"/>
      </rPr>
      <t xml:space="preserve">Mitigate: </t>
    </r>
    <r>
      <rPr>
        <rFont val="Calibri"/>
        <color theme="1"/>
        <sz val="12.0"/>
      </rPr>
      <t>Set internal deadlines earlier than official submission dates</t>
    </r>
  </si>
  <si>
    <t>R14</t>
  </si>
  <si>
    <t>Data privacy breach</t>
  </si>
  <si>
    <t>Personal information exposed due to poor controls</t>
  </si>
  <si>
    <t>Security
(Technical)</t>
  </si>
  <si>
    <t>Weak access control</t>
  </si>
  <si>
    <t>Suspicious access</t>
  </si>
  <si>
    <r>
      <rPr>
        <rFont val="Calibri"/>
        <b/>
        <color theme="1"/>
        <sz val="12.0"/>
      </rPr>
      <t xml:space="preserve">Mitigate: </t>
    </r>
    <r>
      <rPr>
        <rFont val="Calibri"/>
        <b val="0"/>
        <color theme="1"/>
        <sz val="12.0"/>
      </rPr>
      <t>Apply encryption, restrict access permissions</t>
    </r>
  </si>
  <si>
    <t>Unlikely</t>
  </si>
  <si>
    <t>Catastrophic</t>
  </si>
  <si>
    <t>R02</t>
  </si>
  <si>
    <t>Pet owners distrust providers</t>
  </si>
  <si>
    <t>Lack of transparency and reviews may reduce trust in services offered</t>
  </si>
  <si>
    <t>No credibility system for providers</t>
  </si>
  <si>
    <t>Users does not want to book</t>
  </si>
  <si>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Add existing reviews (i.e. From Google/Website), Add verified provider badges (optional)</t>
    </r>
  </si>
  <si>
    <t>R09</t>
  </si>
  <si>
    <t>Dependency issues</t>
  </si>
  <si>
    <t>Library conflicts or deprecated packages will break the application build</t>
  </si>
  <si>
    <t>Unpinned/old dependencies</t>
  </si>
  <si>
    <t>Build/CI failures</t>
  </si>
  <si>
    <r>
      <rPr>
        <rFont val="Calibri"/>
        <b/>
        <color theme="1"/>
        <sz val="12.0"/>
      </rPr>
      <t>Mitigate:</t>
    </r>
    <r>
      <rPr>
        <rFont val="Calibri"/>
        <b val="0"/>
        <color theme="1"/>
        <sz val="12.0"/>
      </rPr>
      <t xml:space="preserve"> Lock dependency versions and test updates</t>
    </r>
  </si>
  <si>
    <t>R12</t>
  </si>
  <si>
    <t>Database schema mismatch</t>
  </si>
  <si>
    <t>Frontend/backend misaligned with database schema changes</t>
  </si>
  <si>
    <t>Uncoordinated schema updates</t>
  </si>
  <si>
    <t>Data load errors</t>
  </si>
  <si>
    <r>
      <rPr>
        <rFont val="Calibri"/>
        <b/>
        <color theme="1"/>
        <sz val="12.0"/>
      </rPr>
      <t>Mitigate:</t>
    </r>
    <r>
      <rPr>
        <rFont val="Calibri"/>
        <b val="0"/>
        <color theme="1"/>
        <sz val="12.0"/>
      </rPr>
      <t xml:space="preserve"> Backend to sync with frontend upon any changes</t>
    </r>
  </si>
  <si>
    <t>Chong Yao</t>
  </si>
  <si>
    <t>R15</t>
  </si>
  <si>
    <t>Expectations misalignment</t>
  </si>
  <si>
    <t>Stakeholders' goals not aligned with team deliverables</t>
  </si>
  <si>
    <t>Executive Support
(Organizational)</t>
  </si>
  <si>
    <t>Communication gaps</t>
  </si>
  <si>
    <t>Conflicting feedback</t>
  </si>
  <si>
    <r>
      <rPr>
        <rFont val="Calibri"/>
        <b/>
        <color theme="1"/>
        <sz val="12.0"/>
      </rPr>
      <t>Mitigate:</t>
    </r>
    <r>
      <rPr>
        <rFont val="Calibri"/>
        <b val="0"/>
        <color theme="1"/>
        <sz val="12.0"/>
      </rPr>
      <t xml:space="preserve"> Ensure alignment suring weekly team meetings to confirm requirements</t>
    </r>
  </si>
  <si>
    <t>R18</t>
  </si>
  <si>
    <t>Conflicts/Miscommunication</t>
  </si>
  <si>
    <t>Friction between members or unclear roles/communications will slow project progress</t>
  </si>
  <si>
    <t>Unclear roles and responsibilities</t>
  </si>
  <si>
    <t>Duplicate/blocked work</t>
  </si>
  <si>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Maintain open channels and use retrospectives</t>
    </r>
  </si>
  <si>
    <t>Closed</t>
  </si>
  <si>
    <t>R21</t>
  </si>
  <si>
    <t>Missed updates or unclear requirements</t>
  </si>
  <si>
    <t>Poor notes/follow-up causes rework</t>
  </si>
  <si>
    <t>Communication
(Project Management)</t>
  </si>
  <si>
    <t>Weak documentation</t>
  </si>
  <si>
    <t>Rework and team confusion</t>
  </si>
  <si>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Maintain project logs and minutes</t>
    </r>
  </si>
  <si>
    <t>R22</t>
  </si>
  <si>
    <t>Limited access to tools</t>
  </si>
  <si>
    <t>Potential account/license issues block progress</t>
  </si>
  <si>
    <t>Resources
(Project Management)</t>
  </si>
  <si>
    <t>Expired accounts</t>
  </si>
  <si>
    <t>Blocked commits/tests</t>
  </si>
  <si>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Verify access early and renew subscriptions if any in advance</t>
    </r>
  </si>
  <si>
    <t>R05</t>
  </si>
  <si>
    <t>Google OAuth policy change</t>
  </si>
  <si>
    <t>Auth may break if Google changes policies or scopes</t>
  </si>
  <si>
    <t>Supplier
(Business)</t>
  </si>
  <si>
    <t>External provider dependency</t>
  </si>
  <si>
    <t>Login failures post-change</t>
  </si>
  <si>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Monitor API notices, implement email/password backup</t>
    </r>
  </si>
  <si>
    <t>R10</t>
  </si>
  <si>
    <t>Poor internet connection</t>
  </si>
  <si>
    <t>Unstable Wi-Fi/internet connection will cause slow/failed demo</t>
  </si>
  <si>
    <t>Network
(Technical)</t>
  </si>
  <si>
    <t>Venue connectivity</t>
  </si>
  <si>
    <t>Timeouts or consistent lag</t>
  </si>
  <si>
    <r>
      <rPr>
        <rFont val="Calibri"/>
        <b/>
        <color theme="1"/>
        <sz val="12.0"/>
      </rPr>
      <t>Accept:</t>
    </r>
    <r>
      <rPr>
        <rFont val="Calibri"/>
        <b val="0"/>
        <color theme="1"/>
        <sz val="12.0"/>
      </rPr>
      <t xml:space="preserve"> Prepare offline demo video backup</t>
    </r>
  </si>
  <si>
    <t>Minor</t>
  </si>
  <si>
    <t>R13</t>
  </si>
  <si>
    <t>Weak password enforcement</t>
  </si>
  <si>
    <t>Poor password rules might enable account compromise</t>
  </si>
  <si>
    <t>Inadequate validation</t>
  </si>
  <si>
    <t>Authentication anomalies</t>
  </si>
  <si>
    <r>
      <rPr>
        <rFont val="Calibri"/>
        <b/>
        <color theme="1"/>
        <sz val="12.0"/>
      </rPr>
      <t>Mitigate:</t>
    </r>
    <r>
      <rPr>
        <rFont val="Calibri"/>
        <b val="0"/>
        <color theme="1"/>
        <sz val="12.0"/>
      </rPr>
      <t xml:space="preserve"> Enforce stronger password rules and add validation</t>
    </r>
  </si>
  <si>
    <t>R19</t>
  </si>
  <si>
    <t>Member unavailable</t>
  </si>
  <si>
    <t>Illness/emergency removes key team members contributions</t>
  </si>
  <si>
    <t>Resource Availability
(Organizational)</t>
  </si>
  <si>
    <t>Single-point ownership</t>
  </si>
  <si>
    <t>Missed deliverables</t>
  </si>
  <si>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Assign secondary owners (Member from same team)</t>
    </r>
  </si>
  <si>
    <t>R06</t>
  </si>
  <si>
    <t>Payment gateway fees</t>
  </si>
  <si>
    <t>Higher/hidden fees increase project cost</t>
  </si>
  <si>
    <t>Fee structure changes</t>
  </si>
  <si>
    <t>Cost overrun in tests</t>
  </si>
  <si>
    <r>
      <rPr>
        <rFont val="Calibri"/>
        <b/>
        <color theme="1"/>
        <sz val="12.0"/>
      </rPr>
      <t>Transfer:</t>
    </r>
    <r>
      <rPr>
        <rFont val="Calibri"/>
        <color theme="1"/>
        <sz val="12.0"/>
      </rPr>
      <t xml:space="preserve"> Include buffer and display fees to users if needed</t>
    </r>
  </si>
  <si>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Conduct usability testing, simplify onboarding, gather feedback</t>
    </r>
  </si>
  <si>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Add existing reviews (i.e. From Google/Website), Add verified provider badges (optional)</t>
    </r>
  </si>
  <si>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Focus on niche differentiation, local market focus</t>
    </r>
  </si>
  <si>
    <r>
      <rPr>
        <rFont val="Calibri"/>
        <b/>
        <color theme="1"/>
        <sz val="12.0"/>
      </rPr>
      <t>Mitigate:</t>
    </r>
    <r>
      <rPr>
        <rFont val="Calibri"/>
        <b val="0"/>
        <color theme="1"/>
        <sz val="12.0"/>
      </rPr>
      <t xml:space="preserve"> Use open-source tools and student licenses</t>
    </r>
  </si>
  <si>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Monitor API notices, implement email/password backup</t>
    </r>
  </si>
  <si>
    <r>
      <rPr>
        <rFont val="Calibri"/>
        <b/>
        <color theme="1"/>
        <sz val="12.0"/>
      </rPr>
      <t>Transfer:</t>
    </r>
    <r>
      <rPr>
        <rFont val="Calibri"/>
        <color theme="1"/>
        <sz val="12.0"/>
      </rPr>
      <t xml:space="preserve"> Include buffer and display fees to users if needed</t>
    </r>
  </si>
  <si>
    <r>
      <rPr>
        <rFont val="Calibri"/>
        <b/>
        <color theme="1"/>
        <sz val="12.0"/>
      </rPr>
      <t>Mitigate:</t>
    </r>
    <r>
      <rPr>
        <rFont val="Calibri"/>
        <b val="0"/>
        <color theme="1"/>
        <sz val="12.0"/>
      </rPr>
      <t xml:space="preserve"> Conduct early deployment tests and maintain working backups</t>
    </r>
  </si>
  <si>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Unit and integration tests, peer reviews, bug tracking</t>
    </r>
  </si>
  <si>
    <r>
      <rPr>
        <rFont val="Calibri"/>
        <b/>
        <color theme="1"/>
        <sz val="12.0"/>
      </rPr>
      <t>Mitigate:</t>
    </r>
    <r>
      <rPr>
        <rFont val="Calibri"/>
        <b val="0"/>
        <color theme="1"/>
        <sz val="12.0"/>
      </rPr>
      <t xml:space="preserve"> Lock dependency versions and test updates</t>
    </r>
  </si>
  <si>
    <r>
      <rPr>
        <rFont val="Calibri"/>
        <b/>
        <color theme="1"/>
        <sz val="12.0"/>
      </rPr>
      <t>Accept:</t>
    </r>
    <r>
      <rPr>
        <rFont val="Calibri"/>
        <b val="0"/>
        <color theme="1"/>
        <sz val="12.0"/>
      </rPr>
      <t xml:space="preserve"> Prepare offline demo video backup</t>
    </r>
  </si>
  <si>
    <r>
      <rPr>
        <rFont val="Calibri"/>
        <b/>
        <color theme="1"/>
        <sz val="12.0"/>
      </rPr>
      <t>Mitigate:</t>
    </r>
    <r>
      <rPr>
        <rFont val="Calibri"/>
        <b val="0"/>
        <color theme="1"/>
        <sz val="12.0"/>
      </rPr>
      <t xml:space="preserve"> Conduct API integration tests with mock data</t>
    </r>
  </si>
  <si>
    <r>
      <rPr>
        <rFont val="Calibri"/>
        <b/>
        <color theme="1"/>
        <sz val="12.0"/>
      </rPr>
      <t>Mitigate:</t>
    </r>
    <r>
      <rPr>
        <rFont val="Calibri"/>
        <b val="0"/>
        <color theme="1"/>
        <sz val="12.0"/>
      </rPr>
      <t xml:space="preserve"> Backend to sync with frontend upon any changes</t>
    </r>
  </si>
  <si>
    <r>
      <rPr>
        <rFont val="Calibri"/>
        <b/>
        <color theme="1"/>
        <sz val="12.0"/>
      </rPr>
      <t>Mitigate:</t>
    </r>
    <r>
      <rPr>
        <rFont val="Calibri"/>
        <b val="0"/>
        <color theme="1"/>
        <sz val="12.0"/>
      </rPr>
      <t xml:space="preserve"> Enforce stronger password rules and add validation</t>
    </r>
  </si>
  <si>
    <r>
      <rPr>
        <rFont val="Calibri"/>
        <b/>
        <color theme="1"/>
        <sz val="12.0"/>
      </rPr>
      <t xml:space="preserve">Mitigate: </t>
    </r>
    <r>
      <rPr>
        <rFont val="Calibri"/>
        <b val="0"/>
        <color theme="1"/>
        <sz val="12.0"/>
      </rPr>
      <t>Apply encryption, restrict access permissions</t>
    </r>
  </si>
  <si>
    <r>
      <rPr>
        <rFont val="Calibri"/>
        <b/>
        <color theme="1"/>
        <sz val="12.0"/>
      </rPr>
      <t>Mitigate:</t>
    </r>
    <r>
      <rPr>
        <rFont val="Calibri"/>
        <b val="0"/>
        <color theme="1"/>
        <sz val="12.0"/>
      </rPr>
      <t xml:space="preserve"> Ensure alignment suring weekly team meetings to confirm requirements</t>
    </r>
  </si>
  <si>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Validate requirements with stakeholder during lab sessions</t>
    </r>
  </si>
  <si>
    <r>
      <rPr>
        <rFont val="Calibri"/>
        <b/>
        <color theme="1"/>
        <sz val="12.0"/>
      </rPr>
      <t>Mitigate:</t>
    </r>
    <r>
      <rPr>
        <rFont val="Calibri"/>
        <b val="0"/>
        <color theme="1"/>
        <sz val="12.0"/>
      </rPr>
      <t xml:space="preserve"> Track workloads, redistribute tasks accordingly</t>
    </r>
  </si>
  <si>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Maintain open channels and use retrospectives</t>
    </r>
  </si>
  <si>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Assign secondary owners (Member from same team)</t>
    </r>
  </si>
  <si>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Re-estimate based on past sprints, add buffer for more critical tasks</t>
    </r>
  </si>
  <si>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Maintain project logs and minutes</t>
    </r>
  </si>
  <si>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Verify access early and renew subscriptions if any in advance</t>
    </r>
  </si>
  <si>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Stagger deadlines, use Gantt for schedule tracking</t>
    </r>
  </si>
  <si>
    <r>
      <rPr>
        <rFont val="Calibri"/>
        <b/>
        <color theme="1"/>
        <sz val="12.0"/>
      </rPr>
      <t xml:space="preserve">Mitigate: </t>
    </r>
    <r>
      <rPr>
        <rFont val="Calibri"/>
        <color theme="1"/>
        <sz val="12.0"/>
      </rPr>
      <t>Set internal deadlines earlier than official submission dates</t>
    </r>
  </si>
  <si>
    <r>
      <rPr>
        <rFont val="Calibri"/>
        <b/>
        <color theme="1"/>
        <sz val="12.0"/>
      </rPr>
      <t>Mitigate:</t>
    </r>
    <r>
      <rPr>
        <rFont val="Calibri"/>
        <color theme="1"/>
        <sz val="12.0"/>
      </rPr>
      <t xml:space="preserve"> Apply change request approval process</t>
    </r>
  </si>
  <si>
    <t>Probability/Impact</t>
  </si>
  <si>
    <t>Negligible</t>
  </si>
  <si>
    <t>Rare</t>
  </si>
  <si>
    <t>Almost Certain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</si>
</sst>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2.0"/>
      <color rgb="FFFFFFFF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 shrinkToFit="0" wrapText="1"/>
    </xf>
    <xf borderId="0" fillId="2" fontId="1" numFmtId="0" xfId="0" applyAlignment="1" applyFont="1">
      <alignment readingOrder="0" shrinkToFit="0" vertical="top" wrapText="1"/>
    </xf>
    <xf borderId="0" fillId="0" fontId="3" numFmtId="0" xfId="0" applyFont="1"/>
    <xf borderId="0" fillId="2" fontId="1" numFmtId="0" xfId="0" applyAlignment="1" applyFont="1">
      <alignment readingOrder="0" shrinkToFit="0" wrapText="1"/>
    </xf>
    <xf borderId="0" fillId="0" fontId="3" numFmtId="0" xfId="0" applyAlignment="1" applyFont="1">
      <alignment horizontal="center" shrinkToFit="0" wrapText="1"/>
    </xf>
    <xf borderId="0" fillId="2" fontId="4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6.13"/>
    <col customWidth="1" min="3" max="3" width="20.0"/>
    <col customWidth="1" min="4" max="4" width="36.0"/>
    <col customWidth="1" min="5" max="5" width="20.0"/>
    <col customWidth="1" min="6" max="7" width="19.88"/>
    <col customWidth="1" min="8" max="8" width="21.88"/>
    <col customWidth="1" min="9" max="9" width="12.0"/>
    <col customWidth="1" min="10" max="10" width="16.13"/>
    <col customWidth="1" min="11" max="11" width="13.88"/>
    <col customWidth="1" min="12" max="12" width="12.88"/>
    <col customWidth="1" hidden="1" min="13" max="13" width="15.75"/>
    <col hidden="1" min="14" max="14" width="12.63"/>
    <col customWidth="1" hidden="1" min="15" max="15" width="10.88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15</v>
      </c>
      <c r="B2" s="4">
        <f t="shared" ref="B2:B26" si="1">_xlfn.RANK.EQ(O2, $O$2:$O996, false)</f>
        <v>1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5">
        <f t="shared" ref="M2:M26" si="2">SWITCH(J2, "Almost Certain", 5, "Likely", 4, "Possible", 3, "Unlikely", 2, "Rare", 1, 0)</f>
        <v>4</v>
      </c>
      <c r="N2" s="5">
        <f t="shared" ref="N2:N26" si="3">SWITCH(K2, 
  "Catastrophic", 5, 
  "Major", 4, 
  "Moderate", 3, 
  "Minor", 2, 
  "Negligible", 1, 
  0)
</f>
        <v>4</v>
      </c>
      <c r="O2" s="5">
        <f t="shared" ref="O2:O26" si="4">M2*N2</f>
        <v>16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 t="s">
        <v>26</v>
      </c>
      <c r="B3" s="4">
        <f t="shared" si="1"/>
        <v>1</v>
      </c>
      <c r="C3" s="4" t="s">
        <v>27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23</v>
      </c>
      <c r="K3" s="4" t="s">
        <v>24</v>
      </c>
      <c r="L3" s="4" t="s">
        <v>34</v>
      </c>
      <c r="M3" s="5">
        <f t="shared" si="2"/>
        <v>4</v>
      </c>
      <c r="N3" s="5">
        <f t="shared" si="3"/>
        <v>4</v>
      </c>
      <c r="O3" s="5">
        <f t="shared" si="4"/>
        <v>16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 t="s">
        <v>35</v>
      </c>
      <c r="B4" s="4">
        <f t="shared" si="1"/>
        <v>1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41</v>
      </c>
      <c r="I4" s="4" t="s">
        <v>42</v>
      </c>
      <c r="J4" s="4" t="s">
        <v>23</v>
      </c>
      <c r="K4" s="4" t="s">
        <v>24</v>
      </c>
      <c r="L4" s="4" t="s">
        <v>25</v>
      </c>
      <c r="M4" s="5">
        <f t="shared" si="2"/>
        <v>4</v>
      </c>
      <c r="N4" s="5">
        <f t="shared" si="3"/>
        <v>4</v>
      </c>
      <c r="O4" s="5">
        <f t="shared" si="4"/>
        <v>16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 t="s">
        <v>43</v>
      </c>
      <c r="B5" s="4">
        <f t="shared" si="1"/>
        <v>4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48</v>
      </c>
      <c r="H5" s="4" t="s">
        <v>49</v>
      </c>
      <c r="I5" s="4" t="s">
        <v>33</v>
      </c>
      <c r="J5" s="4" t="s">
        <v>23</v>
      </c>
      <c r="K5" s="4" t="s">
        <v>50</v>
      </c>
      <c r="L5" s="4" t="s">
        <v>25</v>
      </c>
      <c r="M5" s="5">
        <f t="shared" si="2"/>
        <v>4</v>
      </c>
      <c r="N5" s="5">
        <f t="shared" si="3"/>
        <v>3</v>
      </c>
      <c r="O5" s="5">
        <f t="shared" si="4"/>
        <v>12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 t="s">
        <v>51</v>
      </c>
      <c r="B6" s="4">
        <f t="shared" si="1"/>
        <v>4</v>
      </c>
      <c r="C6" s="4" t="s">
        <v>52</v>
      </c>
      <c r="D6" s="4" t="s">
        <v>53</v>
      </c>
      <c r="E6" s="4" t="s">
        <v>54</v>
      </c>
      <c r="F6" s="4" t="s">
        <v>55</v>
      </c>
      <c r="G6" s="4" t="s">
        <v>56</v>
      </c>
      <c r="H6" s="6" t="s">
        <v>57</v>
      </c>
      <c r="I6" s="4" t="s">
        <v>42</v>
      </c>
      <c r="J6" s="4" t="s">
        <v>23</v>
      </c>
      <c r="K6" s="4" t="s">
        <v>50</v>
      </c>
      <c r="L6" s="4" t="s">
        <v>58</v>
      </c>
      <c r="M6" s="5">
        <f t="shared" si="2"/>
        <v>4</v>
      </c>
      <c r="N6" s="5">
        <f t="shared" si="3"/>
        <v>3</v>
      </c>
      <c r="O6" s="5">
        <f t="shared" si="4"/>
        <v>12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 t="s">
        <v>59</v>
      </c>
      <c r="B7" s="4">
        <f t="shared" si="1"/>
        <v>4</v>
      </c>
      <c r="C7" s="4" t="s">
        <v>60</v>
      </c>
      <c r="D7" s="4" t="s">
        <v>61</v>
      </c>
      <c r="E7" s="4" t="s">
        <v>62</v>
      </c>
      <c r="F7" s="4" t="s">
        <v>63</v>
      </c>
      <c r="G7" s="4" t="s">
        <v>64</v>
      </c>
      <c r="H7" s="6" t="s">
        <v>65</v>
      </c>
      <c r="I7" s="4" t="s">
        <v>66</v>
      </c>
      <c r="J7" s="4" t="s">
        <v>67</v>
      </c>
      <c r="K7" s="4" t="s">
        <v>24</v>
      </c>
      <c r="L7" s="4" t="s">
        <v>34</v>
      </c>
      <c r="M7" s="5">
        <f t="shared" si="2"/>
        <v>3</v>
      </c>
      <c r="N7" s="5">
        <f t="shared" si="3"/>
        <v>4</v>
      </c>
      <c r="O7" s="5">
        <f t="shared" si="4"/>
        <v>12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 t="s">
        <v>68</v>
      </c>
      <c r="B8" s="4">
        <f t="shared" si="1"/>
        <v>4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73</v>
      </c>
      <c r="H8" s="6" t="s">
        <v>74</v>
      </c>
      <c r="I8" s="4" t="s">
        <v>42</v>
      </c>
      <c r="J8" s="4" t="s">
        <v>67</v>
      </c>
      <c r="K8" s="4" t="s">
        <v>24</v>
      </c>
      <c r="L8" s="4" t="s">
        <v>25</v>
      </c>
      <c r="M8" s="5">
        <f t="shared" si="2"/>
        <v>3</v>
      </c>
      <c r="N8" s="5">
        <f t="shared" si="3"/>
        <v>4</v>
      </c>
      <c r="O8" s="5">
        <f t="shared" si="4"/>
        <v>12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 t="s">
        <v>75</v>
      </c>
      <c r="B9" s="4">
        <f t="shared" si="1"/>
        <v>4</v>
      </c>
      <c r="C9" s="4" t="s">
        <v>76</v>
      </c>
      <c r="D9" s="4" t="s">
        <v>77</v>
      </c>
      <c r="E9" s="4" t="s">
        <v>78</v>
      </c>
      <c r="F9" s="4" t="s">
        <v>79</v>
      </c>
      <c r="G9" s="4" t="s">
        <v>80</v>
      </c>
      <c r="H9" s="7" t="s">
        <v>81</v>
      </c>
      <c r="I9" s="4" t="s">
        <v>82</v>
      </c>
      <c r="J9" s="4" t="s">
        <v>23</v>
      </c>
      <c r="K9" s="4" t="s">
        <v>50</v>
      </c>
      <c r="L9" s="4" t="s">
        <v>25</v>
      </c>
      <c r="M9" s="5">
        <f t="shared" si="2"/>
        <v>4</v>
      </c>
      <c r="N9" s="5">
        <f t="shared" si="3"/>
        <v>3</v>
      </c>
      <c r="O9" s="5">
        <f t="shared" si="4"/>
        <v>12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 t="s">
        <v>83</v>
      </c>
      <c r="B10" s="4">
        <f t="shared" si="1"/>
        <v>4</v>
      </c>
      <c r="C10" s="4" t="s">
        <v>84</v>
      </c>
      <c r="D10" s="4" t="s">
        <v>85</v>
      </c>
      <c r="E10" s="4" t="s">
        <v>86</v>
      </c>
      <c r="F10" s="4" t="s">
        <v>87</v>
      </c>
      <c r="G10" s="4" t="s">
        <v>88</v>
      </c>
      <c r="H10" s="6" t="s">
        <v>89</v>
      </c>
      <c r="I10" s="4" t="s">
        <v>22</v>
      </c>
      <c r="J10" s="4" t="s">
        <v>23</v>
      </c>
      <c r="K10" s="4" t="s">
        <v>50</v>
      </c>
      <c r="L10" s="4" t="s">
        <v>34</v>
      </c>
      <c r="M10" s="5">
        <f t="shared" si="2"/>
        <v>4</v>
      </c>
      <c r="N10" s="5">
        <f t="shared" si="3"/>
        <v>3</v>
      </c>
      <c r="O10" s="5">
        <f t="shared" si="4"/>
        <v>12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 t="s">
        <v>90</v>
      </c>
      <c r="B11" s="4">
        <f t="shared" si="1"/>
        <v>4</v>
      </c>
      <c r="C11" s="4" t="s">
        <v>91</v>
      </c>
      <c r="D11" s="4" t="s">
        <v>92</v>
      </c>
      <c r="E11" s="4" t="s">
        <v>93</v>
      </c>
      <c r="F11" s="4" t="s">
        <v>94</v>
      </c>
      <c r="G11" s="4" t="s">
        <v>95</v>
      </c>
      <c r="H11" s="4" t="s">
        <v>96</v>
      </c>
      <c r="I11" s="4" t="s">
        <v>97</v>
      </c>
      <c r="J11" s="4" t="s">
        <v>23</v>
      </c>
      <c r="K11" s="4" t="s">
        <v>50</v>
      </c>
      <c r="L11" s="4" t="s">
        <v>58</v>
      </c>
      <c r="M11" s="5">
        <f t="shared" si="2"/>
        <v>4</v>
      </c>
      <c r="N11" s="5">
        <f t="shared" si="3"/>
        <v>3</v>
      </c>
      <c r="O11" s="5">
        <f t="shared" si="4"/>
        <v>12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 t="s">
        <v>98</v>
      </c>
      <c r="B12" s="4">
        <f t="shared" si="1"/>
        <v>4</v>
      </c>
      <c r="C12" s="4" t="s">
        <v>99</v>
      </c>
      <c r="D12" s="4" t="s">
        <v>100</v>
      </c>
      <c r="E12" s="4" t="s">
        <v>101</v>
      </c>
      <c r="F12" s="4" t="s">
        <v>102</v>
      </c>
      <c r="G12" s="4" t="s">
        <v>103</v>
      </c>
      <c r="H12" s="4" t="s">
        <v>104</v>
      </c>
      <c r="I12" s="4" t="s">
        <v>82</v>
      </c>
      <c r="J12" s="4" t="s">
        <v>23</v>
      </c>
      <c r="K12" s="4" t="s">
        <v>50</v>
      </c>
      <c r="L12" s="4" t="s">
        <v>58</v>
      </c>
      <c r="M12" s="5">
        <f t="shared" si="2"/>
        <v>4</v>
      </c>
      <c r="N12" s="5">
        <f t="shared" si="3"/>
        <v>3</v>
      </c>
      <c r="O12" s="5">
        <f t="shared" si="4"/>
        <v>12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 t="s">
        <v>105</v>
      </c>
      <c r="B13" s="4">
        <f t="shared" si="1"/>
        <v>4</v>
      </c>
      <c r="C13" s="4" t="s">
        <v>106</v>
      </c>
      <c r="D13" s="4" t="s">
        <v>107</v>
      </c>
      <c r="E13" s="4" t="s">
        <v>101</v>
      </c>
      <c r="F13" s="4" t="s">
        <v>108</v>
      </c>
      <c r="G13" s="4" t="s">
        <v>109</v>
      </c>
      <c r="H13" s="4" t="s">
        <v>110</v>
      </c>
      <c r="I13" s="4" t="s">
        <v>22</v>
      </c>
      <c r="J13" s="4" t="s">
        <v>67</v>
      </c>
      <c r="K13" s="4" t="s">
        <v>24</v>
      </c>
      <c r="L13" s="4" t="s">
        <v>25</v>
      </c>
      <c r="M13" s="5">
        <f t="shared" si="2"/>
        <v>3</v>
      </c>
      <c r="N13" s="5">
        <f t="shared" si="3"/>
        <v>4</v>
      </c>
      <c r="O13" s="5">
        <f t="shared" si="4"/>
        <v>12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 t="s">
        <v>111</v>
      </c>
      <c r="B14" s="4">
        <f t="shared" si="1"/>
        <v>13</v>
      </c>
      <c r="C14" s="4" t="s">
        <v>112</v>
      </c>
      <c r="D14" s="4" t="s">
        <v>113</v>
      </c>
      <c r="E14" s="4" t="s">
        <v>114</v>
      </c>
      <c r="F14" s="4" t="s">
        <v>115</v>
      </c>
      <c r="G14" s="4" t="s">
        <v>116</v>
      </c>
      <c r="H14" s="6" t="s">
        <v>117</v>
      </c>
      <c r="I14" s="4" t="s">
        <v>66</v>
      </c>
      <c r="J14" s="4" t="s">
        <v>118</v>
      </c>
      <c r="K14" s="4" t="s">
        <v>119</v>
      </c>
      <c r="L14" s="4" t="s">
        <v>25</v>
      </c>
      <c r="M14" s="5">
        <f t="shared" si="2"/>
        <v>2</v>
      </c>
      <c r="N14" s="5">
        <f t="shared" si="3"/>
        <v>5</v>
      </c>
      <c r="O14" s="5">
        <f t="shared" si="4"/>
        <v>10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 t="s">
        <v>120</v>
      </c>
      <c r="B15" s="4">
        <f t="shared" si="1"/>
        <v>14</v>
      </c>
      <c r="C15" s="4" t="s">
        <v>121</v>
      </c>
      <c r="D15" s="4" t="s">
        <v>122</v>
      </c>
      <c r="E15" s="4" t="s">
        <v>46</v>
      </c>
      <c r="F15" s="4" t="s">
        <v>123</v>
      </c>
      <c r="G15" s="4" t="s">
        <v>124</v>
      </c>
      <c r="H15" s="4" t="s">
        <v>125</v>
      </c>
      <c r="I15" s="4" t="s">
        <v>82</v>
      </c>
      <c r="J15" s="4" t="s">
        <v>67</v>
      </c>
      <c r="K15" s="4" t="s">
        <v>50</v>
      </c>
      <c r="L15" s="4" t="s">
        <v>25</v>
      </c>
      <c r="M15" s="5">
        <f t="shared" si="2"/>
        <v>3</v>
      </c>
      <c r="N15" s="5">
        <f t="shared" si="3"/>
        <v>3</v>
      </c>
      <c r="O15" s="5">
        <f t="shared" si="4"/>
        <v>9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 t="s">
        <v>126</v>
      </c>
      <c r="B16" s="4">
        <f t="shared" si="1"/>
        <v>14</v>
      </c>
      <c r="C16" s="4" t="s">
        <v>127</v>
      </c>
      <c r="D16" s="4" t="s">
        <v>128</v>
      </c>
      <c r="E16" s="4" t="s">
        <v>29</v>
      </c>
      <c r="F16" s="4" t="s">
        <v>129</v>
      </c>
      <c r="G16" s="4" t="s">
        <v>130</v>
      </c>
      <c r="H16" s="6" t="s">
        <v>131</v>
      </c>
      <c r="I16" s="4" t="s">
        <v>82</v>
      </c>
      <c r="J16" s="4" t="s">
        <v>67</v>
      </c>
      <c r="K16" s="4" t="s">
        <v>50</v>
      </c>
      <c r="L16" s="4" t="s">
        <v>58</v>
      </c>
      <c r="M16" s="5">
        <f t="shared" si="2"/>
        <v>3</v>
      </c>
      <c r="N16" s="5">
        <f t="shared" si="3"/>
        <v>3</v>
      </c>
      <c r="O16" s="5">
        <f t="shared" si="4"/>
        <v>9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 t="s">
        <v>132</v>
      </c>
      <c r="B17" s="4">
        <f t="shared" si="1"/>
        <v>14</v>
      </c>
      <c r="C17" s="4" t="s">
        <v>133</v>
      </c>
      <c r="D17" s="4" t="s">
        <v>134</v>
      </c>
      <c r="E17" s="4" t="s">
        <v>71</v>
      </c>
      <c r="F17" s="4" t="s">
        <v>135</v>
      </c>
      <c r="G17" s="4" t="s">
        <v>136</v>
      </c>
      <c r="H17" s="6" t="s">
        <v>137</v>
      </c>
      <c r="I17" s="4" t="s">
        <v>138</v>
      </c>
      <c r="J17" s="4" t="s">
        <v>67</v>
      </c>
      <c r="K17" s="4" t="s">
        <v>50</v>
      </c>
      <c r="L17" s="4" t="s">
        <v>25</v>
      </c>
      <c r="M17" s="5">
        <f t="shared" si="2"/>
        <v>3</v>
      </c>
      <c r="N17" s="5">
        <f t="shared" si="3"/>
        <v>3</v>
      </c>
      <c r="O17" s="5">
        <f t="shared" si="4"/>
        <v>9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 t="s">
        <v>139</v>
      </c>
      <c r="B18" s="4">
        <f t="shared" si="1"/>
        <v>14</v>
      </c>
      <c r="C18" s="4" t="s">
        <v>140</v>
      </c>
      <c r="D18" s="4" t="s">
        <v>141</v>
      </c>
      <c r="E18" s="4" t="s">
        <v>142</v>
      </c>
      <c r="F18" s="4" t="s">
        <v>143</v>
      </c>
      <c r="G18" s="4" t="s">
        <v>144</v>
      </c>
      <c r="H18" s="6" t="s">
        <v>145</v>
      </c>
      <c r="I18" s="4" t="s">
        <v>33</v>
      </c>
      <c r="J18" s="4" t="s">
        <v>67</v>
      </c>
      <c r="K18" s="4" t="s">
        <v>50</v>
      </c>
      <c r="L18" s="4" t="s">
        <v>25</v>
      </c>
      <c r="M18" s="5">
        <f t="shared" si="2"/>
        <v>3</v>
      </c>
      <c r="N18" s="5">
        <f t="shared" si="3"/>
        <v>3</v>
      </c>
      <c r="O18" s="5">
        <f t="shared" si="4"/>
        <v>9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 t="s">
        <v>146</v>
      </c>
      <c r="B19" s="4">
        <f t="shared" si="1"/>
        <v>14</v>
      </c>
      <c r="C19" s="4" t="s">
        <v>147</v>
      </c>
      <c r="D19" s="4" t="s">
        <v>148</v>
      </c>
      <c r="E19" s="4" t="s">
        <v>86</v>
      </c>
      <c r="F19" s="4" t="s">
        <v>149</v>
      </c>
      <c r="G19" s="4" t="s">
        <v>150</v>
      </c>
      <c r="H19" s="4" t="s">
        <v>151</v>
      </c>
      <c r="I19" s="4" t="s">
        <v>42</v>
      </c>
      <c r="J19" s="4" t="s">
        <v>67</v>
      </c>
      <c r="K19" s="4" t="s">
        <v>50</v>
      </c>
      <c r="L19" s="4" t="s">
        <v>152</v>
      </c>
      <c r="M19" s="5">
        <f t="shared" si="2"/>
        <v>3</v>
      </c>
      <c r="N19" s="5">
        <f t="shared" si="3"/>
        <v>3</v>
      </c>
      <c r="O19" s="5">
        <f t="shared" si="4"/>
        <v>9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" t="s">
        <v>153</v>
      </c>
      <c r="B20" s="4">
        <f t="shared" si="1"/>
        <v>14</v>
      </c>
      <c r="C20" s="4" t="s">
        <v>154</v>
      </c>
      <c r="D20" s="4" t="s">
        <v>155</v>
      </c>
      <c r="E20" s="4" t="s">
        <v>156</v>
      </c>
      <c r="F20" s="4" t="s">
        <v>157</v>
      </c>
      <c r="G20" s="4" t="s">
        <v>158</v>
      </c>
      <c r="H20" s="4" t="s">
        <v>159</v>
      </c>
      <c r="I20" s="4" t="s">
        <v>66</v>
      </c>
      <c r="J20" s="4" t="s">
        <v>67</v>
      </c>
      <c r="K20" s="4" t="s">
        <v>50</v>
      </c>
      <c r="L20" s="4" t="s">
        <v>34</v>
      </c>
      <c r="M20" s="5">
        <f t="shared" si="2"/>
        <v>3</v>
      </c>
      <c r="N20" s="5">
        <f t="shared" si="3"/>
        <v>3</v>
      </c>
      <c r="O20" s="5">
        <f t="shared" si="4"/>
        <v>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" t="s">
        <v>160</v>
      </c>
      <c r="B21" s="4">
        <f t="shared" si="1"/>
        <v>14</v>
      </c>
      <c r="C21" s="4" t="s">
        <v>161</v>
      </c>
      <c r="D21" s="4" t="s">
        <v>162</v>
      </c>
      <c r="E21" s="4" t="s">
        <v>163</v>
      </c>
      <c r="F21" s="4" t="s">
        <v>164</v>
      </c>
      <c r="G21" s="4" t="s">
        <v>165</v>
      </c>
      <c r="H21" s="4" t="s">
        <v>166</v>
      </c>
      <c r="I21" s="4" t="s">
        <v>33</v>
      </c>
      <c r="J21" s="4" t="s">
        <v>67</v>
      </c>
      <c r="K21" s="4" t="s">
        <v>50</v>
      </c>
      <c r="L21" s="4" t="s">
        <v>25</v>
      </c>
      <c r="M21" s="5">
        <f t="shared" si="2"/>
        <v>3</v>
      </c>
      <c r="N21" s="5">
        <f t="shared" si="3"/>
        <v>3</v>
      </c>
      <c r="O21" s="5">
        <f t="shared" si="4"/>
        <v>9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" t="s">
        <v>167</v>
      </c>
      <c r="B22" s="4">
        <f t="shared" si="1"/>
        <v>21</v>
      </c>
      <c r="C22" s="4" t="s">
        <v>168</v>
      </c>
      <c r="D22" s="4" t="s">
        <v>169</v>
      </c>
      <c r="E22" s="4" t="s">
        <v>170</v>
      </c>
      <c r="F22" s="4" t="s">
        <v>171</v>
      </c>
      <c r="G22" s="4" t="s">
        <v>172</v>
      </c>
      <c r="H22" s="4" t="s">
        <v>173</v>
      </c>
      <c r="I22" s="4" t="s">
        <v>138</v>
      </c>
      <c r="J22" s="4" t="s">
        <v>118</v>
      </c>
      <c r="K22" s="4" t="s">
        <v>24</v>
      </c>
      <c r="L22" s="4" t="s">
        <v>58</v>
      </c>
      <c r="M22" s="5">
        <f t="shared" si="2"/>
        <v>2</v>
      </c>
      <c r="N22" s="5">
        <f t="shared" si="3"/>
        <v>4</v>
      </c>
      <c r="O22" s="5">
        <f t="shared" si="4"/>
        <v>8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" t="s">
        <v>174</v>
      </c>
      <c r="B23" s="4">
        <f t="shared" si="1"/>
        <v>22</v>
      </c>
      <c r="C23" s="4" t="s">
        <v>175</v>
      </c>
      <c r="D23" s="4" t="s">
        <v>176</v>
      </c>
      <c r="E23" s="4" t="s">
        <v>177</v>
      </c>
      <c r="F23" s="4" t="s">
        <v>178</v>
      </c>
      <c r="G23" s="4" t="s">
        <v>179</v>
      </c>
      <c r="H23" s="6" t="s">
        <v>180</v>
      </c>
      <c r="I23" s="4" t="s">
        <v>97</v>
      </c>
      <c r="J23" s="4" t="s">
        <v>67</v>
      </c>
      <c r="K23" s="4" t="s">
        <v>181</v>
      </c>
      <c r="L23" s="4" t="s">
        <v>25</v>
      </c>
      <c r="M23" s="5">
        <f t="shared" si="2"/>
        <v>3</v>
      </c>
      <c r="N23" s="5">
        <f t="shared" si="3"/>
        <v>2</v>
      </c>
      <c r="O23" s="5">
        <f t="shared" si="4"/>
        <v>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" t="s">
        <v>182</v>
      </c>
      <c r="B24" s="4">
        <f t="shared" si="1"/>
        <v>22</v>
      </c>
      <c r="C24" s="4" t="s">
        <v>183</v>
      </c>
      <c r="D24" s="4" t="s">
        <v>184</v>
      </c>
      <c r="E24" s="4" t="s">
        <v>114</v>
      </c>
      <c r="F24" s="4" t="s">
        <v>185</v>
      </c>
      <c r="G24" s="4" t="s">
        <v>186</v>
      </c>
      <c r="H24" s="6" t="s">
        <v>187</v>
      </c>
      <c r="I24" s="4" t="s">
        <v>22</v>
      </c>
      <c r="J24" s="4" t="s">
        <v>118</v>
      </c>
      <c r="K24" s="4" t="s">
        <v>50</v>
      </c>
      <c r="L24" s="4" t="s">
        <v>152</v>
      </c>
      <c r="M24" s="5">
        <f t="shared" si="2"/>
        <v>2</v>
      </c>
      <c r="N24" s="5">
        <f t="shared" si="3"/>
        <v>3</v>
      </c>
      <c r="O24" s="5">
        <f t="shared" si="4"/>
        <v>6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" t="s">
        <v>188</v>
      </c>
      <c r="B25" s="4">
        <f t="shared" si="1"/>
        <v>22</v>
      </c>
      <c r="C25" s="4" t="s">
        <v>189</v>
      </c>
      <c r="D25" s="4" t="s">
        <v>190</v>
      </c>
      <c r="E25" s="4" t="s">
        <v>191</v>
      </c>
      <c r="F25" s="4" t="s">
        <v>192</v>
      </c>
      <c r="G25" s="4" t="s">
        <v>193</v>
      </c>
      <c r="H25" s="4" t="s">
        <v>194</v>
      </c>
      <c r="I25" s="4" t="s">
        <v>138</v>
      </c>
      <c r="J25" s="4" t="s">
        <v>67</v>
      </c>
      <c r="K25" s="4" t="s">
        <v>181</v>
      </c>
      <c r="L25" s="4" t="s">
        <v>25</v>
      </c>
      <c r="M25" s="5">
        <f t="shared" si="2"/>
        <v>3</v>
      </c>
      <c r="N25" s="5">
        <f t="shared" si="3"/>
        <v>2</v>
      </c>
      <c r="O25" s="5">
        <f t="shared" si="4"/>
        <v>6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" t="s">
        <v>195</v>
      </c>
      <c r="B26" s="4">
        <f t="shared" si="1"/>
        <v>25</v>
      </c>
      <c r="C26" s="4" t="s">
        <v>196</v>
      </c>
      <c r="D26" s="4" t="s">
        <v>197</v>
      </c>
      <c r="E26" s="4" t="s">
        <v>54</v>
      </c>
      <c r="F26" s="4" t="s">
        <v>198</v>
      </c>
      <c r="G26" s="4" t="s">
        <v>199</v>
      </c>
      <c r="H26" s="4" t="s">
        <v>200</v>
      </c>
      <c r="I26" s="4" t="s">
        <v>97</v>
      </c>
      <c r="J26" s="4" t="s">
        <v>118</v>
      </c>
      <c r="K26" s="4" t="s">
        <v>181</v>
      </c>
      <c r="L26" s="4" t="s">
        <v>25</v>
      </c>
      <c r="M26" s="5">
        <f t="shared" si="2"/>
        <v>2</v>
      </c>
      <c r="N26" s="5">
        <f t="shared" si="3"/>
        <v>2</v>
      </c>
      <c r="O26" s="5">
        <f t="shared" si="4"/>
        <v>4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conditionalFormatting sqref="J2:J26">
    <cfRule type="notContainsBlanks" dxfId="0" priority="1">
      <formula>LEN(TRIM(J2))&gt;0</formula>
    </cfRule>
  </conditionalFormatting>
  <conditionalFormatting sqref="C2:C996">
    <cfRule type="containsBlanks" dxfId="1" priority="2">
      <formula>LEN(TRIM(C2))=0</formula>
    </cfRule>
  </conditionalFormatting>
  <conditionalFormatting sqref="C2:C996">
    <cfRule type="expression" dxfId="2" priority="3">
      <formula>$O2&gt;=15</formula>
    </cfRule>
  </conditionalFormatting>
  <conditionalFormatting sqref="C2:C996">
    <cfRule type="expression" dxfId="3" priority="4">
      <formula>AND($O2&lt;=14, $O2&gt;=8)</formula>
    </cfRule>
  </conditionalFormatting>
  <conditionalFormatting sqref="C2:C996">
    <cfRule type="expression" dxfId="0" priority="5">
      <formula>$O2&lt;8</formula>
    </cfRule>
  </conditionalFormatting>
  <dataValidations>
    <dataValidation type="list" allowBlank="1" showErrorMessage="1" sqref="J2:J26">
      <formula1>"Almost Certain,Likely,Possible,Unlikely,Rare"</formula1>
    </dataValidation>
    <dataValidation type="list" allowBlank="1" showErrorMessage="1" sqref="I2:I26">
      <formula1>"Zi Jian,Athena,Chloie,Quang,Chong Yao,Nelly,Anthony"</formula1>
    </dataValidation>
    <dataValidation type="list" allowBlank="1" showErrorMessage="1" sqref="L2:L26">
      <formula1>"Open,In Progress,Monitoring,Escalated,Occurred,Closed"</formula1>
    </dataValidation>
    <dataValidation type="list" allowBlank="1" showErrorMessage="1" sqref="K2:K26">
      <formula1>"Catastrophic,Major,Moderate,Minor,Negligible"</formula1>
    </dataValidation>
  </dataValidation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6.13"/>
    <col customWidth="1" min="3" max="3" width="20.0"/>
    <col customWidth="1" min="4" max="4" width="36.0"/>
    <col customWidth="1" min="5" max="5" width="20.0"/>
    <col customWidth="1" min="6" max="7" width="19.88"/>
    <col customWidth="1" min="8" max="8" width="21.88"/>
    <col customWidth="1" min="9" max="9" width="12.0"/>
    <col customWidth="1" min="10" max="10" width="16.13"/>
    <col customWidth="1" min="11" max="11" width="13.88"/>
    <col customWidth="1" min="12" max="12" width="12.88"/>
    <col customWidth="1" hidden="1" min="13" max="13" width="15.75"/>
    <col hidden="1" min="14" max="14" width="12.63"/>
    <col customWidth="1" hidden="1" min="15" max="15" width="10.88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43</v>
      </c>
      <c r="B2" s="4">
        <f t="shared" ref="B2:B26" si="1">_xlfn.RANK.EQ(O2, $O$2:$O996, false)</f>
        <v>4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48</v>
      </c>
      <c r="H2" s="4" t="s">
        <v>201</v>
      </c>
      <c r="I2" s="4" t="s">
        <v>33</v>
      </c>
      <c r="J2" s="4" t="s">
        <v>23</v>
      </c>
      <c r="K2" s="4" t="s">
        <v>50</v>
      </c>
      <c r="L2" s="4" t="s">
        <v>25</v>
      </c>
      <c r="M2" s="5">
        <f t="shared" ref="M2:M26" si="2">SWITCH(J2, "Almost Certain", 5, "Likely", 4, "Possible", 3, "Unlikely", 2, "Rare", 1, 0)</f>
        <v>4</v>
      </c>
      <c r="N2" s="5">
        <f t="shared" ref="N2:N26" si="3">SWITCH(K2, 
  "Catastrophic", 5, 
  "Major", 4, 
  "Moderate", 3, 
  "Minor", 2, 
  "Negligible", 1, 
  0)
</f>
        <v>3</v>
      </c>
      <c r="O2" s="5">
        <f t="shared" ref="O2:O26" si="4">M2*N2</f>
        <v>12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 t="s">
        <v>120</v>
      </c>
      <c r="B3" s="4">
        <f t="shared" si="1"/>
        <v>14</v>
      </c>
      <c r="C3" s="4" t="s">
        <v>121</v>
      </c>
      <c r="D3" s="4" t="s">
        <v>122</v>
      </c>
      <c r="E3" s="4" t="s">
        <v>46</v>
      </c>
      <c r="F3" s="4" t="s">
        <v>123</v>
      </c>
      <c r="G3" s="4" t="s">
        <v>124</v>
      </c>
      <c r="H3" s="4" t="s">
        <v>202</v>
      </c>
      <c r="I3" s="4" t="s">
        <v>82</v>
      </c>
      <c r="J3" s="4" t="s">
        <v>67</v>
      </c>
      <c r="K3" s="4" t="s">
        <v>50</v>
      </c>
      <c r="L3" s="4" t="s">
        <v>25</v>
      </c>
      <c r="M3" s="5">
        <f t="shared" si="2"/>
        <v>3</v>
      </c>
      <c r="N3" s="5">
        <f t="shared" si="3"/>
        <v>3</v>
      </c>
      <c r="O3" s="5">
        <f t="shared" si="4"/>
        <v>9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 t="s">
        <v>15</v>
      </c>
      <c r="B4" s="4">
        <f t="shared" si="1"/>
        <v>1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203</v>
      </c>
      <c r="I4" s="4" t="s">
        <v>22</v>
      </c>
      <c r="J4" s="4" t="s">
        <v>23</v>
      </c>
      <c r="K4" s="4" t="s">
        <v>24</v>
      </c>
      <c r="L4" s="4" t="s">
        <v>25</v>
      </c>
      <c r="M4" s="5">
        <f t="shared" si="2"/>
        <v>4</v>
      </c>
      <c r="N4" s="5">
        <f t="shared" si="3"/>
        <v>4</v>
      </c>
      <c r="O4" s="5">
        <f t="shared" si="4"/>
        <v>16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 t="s">
        <v>51</v>
      </c>
      <c r="B5" s="4">
        <f t="shared" si="1"/>
        <v>4</v>
      </c>
      <c r="C5" s="4" t="s">
        <v>52</v>
      </c>
      <c r="D5" s="4" t="s">
        <v>53</v>
      </c>
      <c r="E5" s="4" t="s">
        <v>54</v>
      </c>
      <c r="F5" s="4" t="s">
        <v>55</v>
      </c>
      <c r="G5" s="4" t="s">
        <v>56</v>
      </c>
      <c r="H5" s="6" t="s">
        <v>204</v>
      </c>
      <c r="I5" s="4" t="s">
        <v>42</v>
      </c>
      <c r="J5" s="4" t="s">
        <v>23</v>
      </c>
      <c r="K5" s="4" t="s">
        <v>50</v>
      </c>
      <c r="L5" s="4" t="s">
        <v>58</v>
      </c>
      <c r="M5" s="5">
        <f t="shared" si="2"/>
        <v>4</v>
      </c>
      <c r="N5" s="5">
        <f t="shared" si="3"/>
        <v>3</v>
      </c>
      <c r="O5" s="5">
        <f t="shared" si="4"/>
        <v>12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 t="s">
        <v>167</v>
      </c>
      <c r="B6" s="4">
        <f t="shared" si="1"/>
        <v>21</v>
      </c>
      <c r="C6" s="4" t="s">
        <v>168</v>
      </c>
      <c r="D6" s="4" t="s">
        <v>169</v>
      </c>
      <c r="E6" s="4" t="s">
        <v>170</v>
      </c>
      <c r="F6" s="4" t="s">
        <v>171</v>
      </c>
      <c r="G6" s="4" t="s">
        <v>172</v>
      </c>
      <c r="H6" s="4" t="s">
        <v>205</v>
      </c>
      <c r="I6" s="4" t="s">
        <v>138</v>
      </c>
      <c r="J6" s="4" t="s">
        <v>118</v>
      </c>
      <c r="K6" s="4" t="s">
        <v>24</v>
      </c>
      <c r="L6" s="4" t="s">
        <v>58</v>
      </c>
      <c r="M6" s="5">
        <f t="shared" si="2"/>
        <v>2</v>
      </c>
      <c r="N6" s="5">
        <f t="shared" si="3"/>
        <v>4</v>
      </c>
      <c r="O6" s="5">
        <f t="shared" si="4"/>
        <v>8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 t="s">
        <v>195</v>
      </c>
      <c r="B7" s="4">
        <f t="shared" si="1"/>
        <v>25</v>
      </c>
      <c r="C7" s="4" t="s">
        <v>196</v>
      </c>
      <c r="D7" s="4" t="s">
        <v>197</v>
      </c>
      <c r="E7" s="4" t="s">
        <v>54</v>
      </c>
      <c r="F7" s="4" t="s">
        <v>198</v>
      </c>
      <c r="G7" s="4" t="s">
        <v>199</v>
      </c>
      <c r="H7" s="4" t="s">
        <v>206</v>
      </c>
      <c r="I7" s="4" t="s">
        <v>97</v>
      </c>
      <c r="J7" s="4" t="s">
        <v>118</v>
      </c>
      <c r="K7" s="4" t="s">
        <v>181</v>
      </c>
      <c r="L7" s="4" t="s">
        <v>25</v>
      </c>
      <c r="M7" s="5">
        <f t="shared" si="2"/>
        <v>2</v>
      </c>
      <c r="N7" s="5">
        <f t="shared" si="3"/>
        <v>2</v>
      </c>
      <c r="O7" s="5">
        <f t="shared" si="4"/>
        <v>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 t="s">
        <v>59</v>
      </c>
      <c r="B8" s="4">
        <f t="shared" si="1"/>
        <v>4</v>
      </c>
      <c r="C8" s="4" t="s">
        <v>60</v>
      </c>
      <c r="D8" s="4" t="s">
        <v>61</v>
      </c>
      <c r="E8" s="4" t="s">
        <v>62</v>
      </c>
      <c r="F8" s="4" t="s">
        <v>63</v>
      </c>
      <c r="G8" s="4" t="s">
        <v>64</v>
      </c>
      <c r="H8" s="6" t="s">
        <v>207</v>
      </c>
      <c r="I8" s="4" t="s">
        <v>66</v>
      </c>
      <c r="J8" s="4" t="s">
        <v>67</v>
      </c>
      <c r="K8" s="4" t="s">
        <v>24</v>
      </c>
      <c r="L8" s="4" t="s">
        <v>34</v>
      </c>
      <c r="M8" s="5">
        <f t="shared" si="2"/>
        <v>3</v>
      </c>
      <c r="N8" s="5">
        <f t="shared" si="3"/>
        <v>4</v>
      </c>
      <c r="O8" s="5">
        <f t="shared" si="4"/>
        <v>12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 t="s">
        <v>26</v>
      </c>
      <c r="B9" s="4">
        <f t="shared" si="1"/>
        <v>1</v>
      </c>
      <c r="C9" s="4" t="s">
        <v>27</v>
      </c>
      <c r="D9" s="4" t="s">
        <v>28</v>
      </c>
      <c r="E9" s="4" t="s">
        <v>29</v>
      </c>
      <c r="F9" s="4" t="s">
        <v>30</v>
      </c>
      <c r="G9" s="4" t="s">
        <v>31</v>
      </c>
      <c r="H9" s="4" t="s">
        <v>208</v>
      </c>
      <c r="I9" s="4" t="s">
        <v>33</v>
      </c>
      <c r="J9" s="4" t="s">
        <v>23</v>
      </c>
      <c r="K9" s="4" t="s">
        <v>24</v>
      </c>
      <c r="L9" s="4" t="s">
        <v>34</v>
      </c>
      <c r="M9" s="5">
        <f t="shared" si="2"/>
        <v>4</v>
      </c>
      <c r="N9" s="5">
        <f t="shared" si="3"/>
        <v>4</v>
      </c>
      <c r="O9" s="5">
        <f t="shared" si="4"/>
        <v>16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 t="s">
        <v>126</v>
      </c>
      <c r="B10" s="4">
        <f t="shared" si="1"/>
        <v>14</v>
      </c>
      <c r="C10" s="4" t="s">
        <v>127</v>
      </c>
      <c r="D10" s="4" t="s">
        <v>128</v>
      </c>
      <c r="E10" s="4" t="s">
        <v>29</v>
      </c>
      <c r="F10" s="4" t="s">
        <v>129</v>
      </c>
      <c r="G10" s="4" t="s">
        <v>130</v>
      </c>
      <c r="H10" s="6" t="s">
        <v>209</v>
      </c>
      <c r="I10" s="4" t="s">
        <v>82</v>
      </c>
      <c r="J10" s="4" t="s">
        <v>67</v>
      </c>
      <c r="K10" s="4" t="s">
        <v>50</v>
      </c>
      <c r="L10" s="4" t="s">
        <v>58</v>
      </c>
      <c r="M10" s="5">
        <f t="shared" si="2"/>
        <v>3</v>
      </c>
      <c r="N10" s="5">
        <f t="shared" si="3"/>
        <v>3</v>
      </c>
      <c r="O10" s="5">
        <f t="shared" si="4"/>
        <v>9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 t="s">
        <v>174</v>
      </c>
      <c r="B11" s="4">
        <f t="shared" si="1"/>
        <v>22</v>
      </c>
      <c r="C11" s="4" t="s">
        <v>175</v>
      </c>
      <c r="D11" s="4" t="s">
        <v>176</v>
      </c>
      <c r="E11" s="4" t="s">
        <v>177</v>
      </c>
      <c r="F11" s="4" t="s">
        <v>178</v>
      </c>
      <c r="G11" s="4" t="s">
        <v>179</v>
      </c>
      <c r="H11" s="6" t="s">
        <v>210</v>
      </c>
      <c r="I11" s="4" t="s">
        <v>97</v>
      </c>
      <c r="J11" s="4" t="s">
        <v>67</v>
      </c>
      <c r="K11" s="4" t="s">
        <v>181</v>
      </c>
      <c r="L11" s="4" t="s">
        <v>25</v>
      </c>
      <c r="M11" s="5">
        <f t="shared" si="2"/>
        <v>3</v>
      </c>
      <c r="N11" s="5">
        <f t="shared" si="3"/>
        <v>2</v>
      </c>
      <c r="O11" s="5">
        <f t="shared" si="4"/>
        <v>6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 t="s">
        <v>68</v>
      </c>
      <c r="B12" s="4">
        <f t="shared" si="1"/>
        <v>4</v>
      </c>
      <c r="C12" s="4" t="s">
        <v>69</v>
      </c>
      <c r="D12" s="4" t="s">
        <v>70</v>
      </c>
      <c r="E12" s="4" t="s">
        <v>71</v>
      </c>
      <c r="F12" s="4" t="s">
        <v>72</v>
      </c>
      <c r="G12" s="4" t="s">
        <v>73</v>
      </c>
      <c r="H12" s="6" t="s">
        <v>211</v>
      </c>
      <c r="I12" s="4" t="s">
        <v>42</v>
      </c>
      <c r="J12" s="4" t="s">
        <v>67</v>
      </c>
      <c r="K12" s="4" t="s">
        <v>24</v>
      </c>
      <c r="L12" s="4" t="s">
        <v>25</v>
      </c>
      <c r="M12" s="5">
        <f t="shared" si="2"/>
        <v>3</v>
      </c>
      <c r="N12" s="5">
        <f t="shared" si="3"/>
        <v>4</v>
      </c>
      <c r="O12" s="5">
        <f t="shared" si="4"/>
        <v>12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 t="s">
        <v>132</v>
      </c>
      <c r="B13" s="4">
        <f t="shared" si="1"/>
        <v>14</v>
      </c>
      <c r="C13" s="4" t="s">
        <v>133</v>
      </c>
      <c r="D13" s="4" t="s">
        <v>134</v>
      </c>
      <c r="E13" s="4" t="s">
        <v>71</v>
      </c>
      <c r="F13" s="4" t="s">
        <v>135</v>
      </c>
      <c r="G13" s="4" t="s">
        <v>136</v>
      </c>
      <c r="H13" s="6" t="s">
        <v>212</v>
      </c>
      <c r="I13" s="4" t="s">
        <v>138</v>
      </c>
      <c r="J13" s="4" t="s">
        <v>67</v>
      </c>
      <c r="K13" s="4" t="s">
        <v>50</v>
      </c>
      <c r="L13" s="4" t="s">
        <v>25</v>
      </c>
      <c r="M13" s="5">
        <f t="shared" si="2"/>
        <v>3</v>
      </c>
      <c r="N13" s="5">
        <f t="shared" si="3"/>
        <v>3</v>
      </c>
      <c r="O13" s="5">
        <f t="shared" si="4"/>
        <v>9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 t="s">
        <v>182</v>
      </c>
      <c r="B14" s="4">
        <f t="shared" si="1"/>
        <v>22</v>
      </c>
      <c r="C14" s="4" t="s">
        <v>183</v>
      </c>
      <c r="D14" s="4" t="s">
        <v>184</v>
      </c>
      <c r="E14" s="4" t="s">
        <v>114</v>
      </c>
      <c r="F14" s="4" t="s">
        <v>185</v>
      </c>
      <c r="G14" s="4" t="s">
        <v>186</v>
      </c>
      <c r="H14" s="6" t="s">
        <v>213</v>
      </c>
      <c r="I14" s="4" t="s">
        <v>22</v>
      </c>
      <c r="J14" s="4" t="s">
        <v>118</v>
      </c>
      <c r="K14" s="4" t="s">
        <v>50</v>
      </c>
      <c r="L14" s="4" t="s">
        <v>152</v>
      </c>
      <c r="M14" s="5">
        <f t="shared" si="2"/>
        <v>2</v>
      </c>
      <c r="N14" s="5">
        <f t="shared" si="3"/>
        <v>3</v>
      </c>
      <c r="O14" s="5">
        <f t="shared" si="4"/>
        <v>6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 t="s">
        <v>111</v>
      </c>
      <c r="B15" s="4">
        <f t="shared" si="1"/>
        <v>13</v>
      </c>
      <c r="C15" s="4" t="s">
        <v>112</v>
      </c>
      <c r="D15" s="4" t="s">
        <v>113</v>
      </c>
      <c r="E15" s="4" t="s">
        <v>114</v>
      </c>
      <c r="F15" s="4" t="s">
        <v>115</v>
      </c>
      <c r="G15" s="4" t="s">
        <v>116</v>
      </c>
      <c r="H15" s="6" t="s">
        <v>214</v>
      </c>
      <c r="I15" s="4" t="s">
        <v>66</v>
      </c>
      <c r="J15" s="4" t="s">
        <v>118</v>
      </c>
      <c r="K15" s="4" t="s">
        <v>119</v>
      </c>
      <c r="L15" s="4" t="s">
        <v>25</v>
      </c>
      <c r="M15" s="5">
        <f t="shared" si="2"/>
        <v>2</v>
      </c>
      <c r="N15" s="5">
        <f t="shared" si="3"/>
        <v>5</v>
      </c>
      <c r="O15" s="5">
        <f t="shared" si="4"/>
        <v>10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 t="s">
        <v>139</v>
      </c>
      <c r="B16" s="4">
        <f t="shared" si="1"/>
        <v>14</v>
      </c>
      <c r="C16" s="4" t="s">
        <v>140</v>
      </c>
      <c r="D16" s="4" t="s">
        <v>141</v>
      </c>
      <c r="E16" s="4" t="s">
        <v>142</v>
      </c>
      <c r="F16" s="4" t="s">
        <v>143</v>
      </c>
      <c r="G16" s="4" t="s">
        <v>144</v>
      </c>
      <c r="H16" s="6" t="s">
        <v>215</v>
      </c>
      <c r="I16" s="4" t="s">
        <v>33</v>
      </c>
      <c r="J16" s="4" t="s">
        <v>67</v>
      </c>
      <c r="K16" s="4" t="s">
        <v>50</v>
      </c>
      <c r="L16" s="4" t="s">
        <v>25</v>
      </c>
      <c r="M16" s="5">
        <f t="shared" si="2"/>
        <v>3</v>
      </c>
      <c r="N16" s="5">
        <f t="shared" si="3"/>
        <v>3</v>
      </c>
      <c r="O16" s="5">
        <f t="shared" si="4"/>
        <v>9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 t="s">
        <v>75</v>
      </c>
      <c r="B17" s="4">
        <f t="shared" si="1"/>
        <v>4</v>
      </c>
      <c r="C17" s="4" t="s">
        <v>76</v>
      </c>
      <c r="D17" s="4" t="s">
        <v>77</v>
      </c>
      <c r="E17" s="4" t="s">
        <v>78</v>
      </c>
      <c r="F17" s="4" t="s">
        <v>79</v>
      </c>
      <c r="G17" s="4" t="s">
        <v>80</v>
      </c>
      <c r="H17" s="7" t="s">
        <v>216</v>
      </c>
      <c r="I17" s="4" t="s">
        <v>82</v>
      </c>
      <c r="J17" s="4" t="s">
        <v>23</v>
      </c>
      <c r="K17" s="4" t="s">
        <v>50</v>
      </c>
      <c r="L17" s="4" t="s">
        <v>25</v>
      </c>
      <c r="M17" s="5">
        <f t="shared" si="2"/>
        <v>4</v>
      </c>
      <c r="N17" s="5">
        <f t="shared" si="3"/>
        <v>3</v>
      </c>
      <c r="O17" s="5">
        <f t="shared" si="4"/>
        <v>12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 t="s">
        <v>83</v>
      </c>
      <c r="B18" s="4">
        <f t="shared" si="1"/>
        <v>4</v>
      </c>
      <c r="C18" s="4" t="s">
        <v>84</v>
      </c>
      <c r="D18" s="4" t="s">
        <v>85</v>
      </c>
      <c r="E18" s="4" t="s">
        <v>86</v>
      </c>
      <c r="F18" s="4" t="s">
        <v>87</v>
      </c>
      <c r="G18" s="4" t="s">
        <v>88</v>
      </c>
      <c r="H18" s="6" t="s">
        <v>217</v>
      </c>
      <c r="I18" s="4" t="s">
        <v>22</v>
      </c>
      <c r="J18" s="4" t="s">
        <v>23</v>
      </c>
      <c r="K18" s="4" t="s">
        <v>50</v>
      </c>
      <c r="L18" s="4" t="s">
        <v>34</v>
      </c>
      <c r="M18" s="5">
        <f t="shared" si="2"/>
        <v>4</v>
      </c>
      <c r="N18" s="5">
        <f t="shared" si="3"/>
        <v>3</v>
      </c>
      <c r="O18" s="5">
        <f t="shared" si="4"/>
        <v>12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 t="s">
        <v>146</v>
      </c>
      <c r="B19" s="4">
        <f t="shared" si="1"/>
        <v>14</v>
      </c>
      <c r="C19" s="4" t="s">
        <v>147</v>
      </c>
      <c r="D19" s="4" t="s">
        <v>148</v>
      </c>
      <c r="E19" s="4" t="s">
        <v>86</v>
      </c>
      <c r="F19" s="4" t="s">
        <v>149</v>
      </c>
      <c r="G19" s="4" t="s">
        <v>150</v>
      </c>
      <c r="H19" s="4" t="s">
        <v>218</v>
      </c>
      <c r="I19" s="4" t="s">
        <v>42</v>
      </c>
      <c r="J19" s="4" t="s">
        <v>67</v>
      </c>
      <c r="K19" s="4" t="s">
        <v>50</v>
      </c>
      <c r="L19" s="4" t="s">
        <v>152</v>
      </c>
      <c r="M19" s="5">
        <f t="shared" si="2"/>
        <v>3</v>
      </c>
      <c r="N19" s="5">
        <f t="shared" si="3"/>
        <v>3</v>
      </c>
      <c r="O19" s="5">
        <f t="shared" si="4"/>
        <v>9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" t="s">
        <v>188</v>
      </c>
      <c r="B20" s="4">
        <f t="shared" si="1"/>
        <v>22</v>
      </c>
      <c r="C20" s="4" t="s">
        <v>189</v>
      </c>
      <c r="D20" s="4" t="s">
        <v>190</v>
      </c>
      <c r="E20" s="4" t="s">
        <v>191</v>
      </c>
      <c r="F20" s="4" t="s">
        <v>192</v>
      </c>
      <c r="G20" s="4" t="s">
        <v>193</v>
      </c>
      <c r="H20" s="4" t="s">
        <v>219</v>
      </c>
      <c r="I20" s="4" t="s">
        <v>138</v>
      </c>
      <c r="J20" s="4" t="s">
        <v>67</v>
      </c>
      <c r="K20" s="4" t="s">
        <v>181</v>
      </c>
      <c r="L20" s="4" t="s">
        <v>25</v>
      </c>
      <c r="M20" s="5">
        <f t="shared" si="2"/>
        <v>3</v>
      </c>
      <c r="N20" s="5">
        <f t="shared" si="3"/>
        <v>2</v>
      </c>
      <c r="O20" s="5">
        <f t="shared" si="4"/>
        <v>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" t="s">
        <v>90</v>
      </c>
      <c r="B21" s="4">
        <f t="shared" si="1"/>
        <v>4</v>
      </c>
      <c r="C21" s="4" t="s">
        <v>91</v>
      </c>
      <c r="D21" s="4" t="s">
        <v>92</v>
      </c>
      <c r="E21" s="4" t="s">
        <v>93</v>
      </c>
      <c r="F21" s="4" t="s">
        <v>94</v>
      </c>
      <c r="G21" s="4" t="s">
        <v>95</v>
      </c>
      <c r="H21" s="4" t="s">
        <v>220</v>
      </c>
      <c r="I21" s="4" t="s">
        <v>97</v>
      </c>
      <c r="J21" s="4" t="s">
        <v>23</v>
      </c>
      <c r="K21" s="4" t="s">
        <v>50</v>
      </c>
      <c r="L21" s="4" t="s">
        <v>58</v>
      </c>
      <c r="M21" s="5">
        <f t="shared" si="2"/>
        <v>4</v>
      </c>
      <c r="N21" s="5">
        <f t="shared" si="3"/>
        <v>3</v>
      </c>
      <c r="O21" s="5">
        <f t="shared" si="4"/>
        <v>12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" t="s">
        <v>153</v>
      </c>
      <c r="B22" s="4">
        <f t="shared" si="1"/>
        <v>14</v>
      </c>
      <c r="C22" s="4" t="s">
        <v>154</v>
      </c>
      <c r="D22" s="4" t="s">
        <v>155</v>
      </c>
      <c r="E22" s="4" t="s">
        <v>156</v>
      </c>
      <c r="F22" s="4" t="s">
        <v>157</v>
      </c>
      <c r="G22" s="4" t="s">
        <v>158</v>
      </c>
      <c r="H22" s="4" t="s">
        <v>221</v>
      </c>
      <c r="I22" s="4" t="s">
        <v>66</v>
      </c>
      <c r="J22" s="4" t="s">
        <v>67</v>
      </c>
      <c r="K22" s="4" t="s">
        <v>50</v>
      </c>
      <c r="L22" s="4" t="s">
        <v>34</v>
      </c>
      <c r="M22" s="5">
        <f t="shared" si="2"/>
        <v>3</v>
      </c>
      <c r="N22" s="5">
        <f t="shared" si="3"/>
        <v>3</v>
      </c>
      <c r="O22" s="5">
        <f t="shared" si="4"/>
        <v>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" t="s">
        <v>160</v>
      </c>
      <c r="B23" s="4">
        <f t="shared" si="1"/>
        <v>14</v>
      </c>
      <c r="C23" s="4" t="s">
        <v>161</v>
      </c>
      <c r="D23" s="4" t="s">
        <v>162</v>
      </c>
      <c r="E23" s="4" t="s">
        <v>163</v>
      </c>
      <c r="F23" s="4" t="s">
        <v>164</v>
      </c>
      <c r="G23" s="4" t="s">
        <v>165</v>
      </c>
      <c r="H23" s="4" t="s">
        <v>222</v>
      </c>
      <c r="I23" s="4" t="s">
        <v>33</v>
      </c>
      <c r="J23" s="4" t="s">
        <v>67</v>
      </c>
      <c r="K23" s="4" t="s">
        <v>50</v>
      </c>
      <c r="L23" s="4" t="s">
        <v>25</v>
      </c>
      <c r="M23" s="5">
        <f t="shared" si="2"/>
        <v>3</v>
      </c>
      <c r="N23" s="5">
        <f t="shared" si="3"/>
        <v>3</v>
      </c>
      <c r="O23" s="5">
        <f t="shared" si="4"/>
        <v>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" t="s">
        <v>98</v>
      </c>
      <c r="B24" s="4">
        <f t="shared" si="1"/>
        <v>4</v>
      </c>
      <c r="C24" s="4" t="s">
        <v>99</v>
      </c>
      <c r="D24" s="4" t="s">
        <v>100</v>
      </c>
      <c r="E24" s="4" t="s">
        <v>101</v>
      </c>
      <c r="F24" s="4" t="s">
        <v>102</v>
      </c>
      <c r="G24" s="4" t="s">
        <v>103</v>
      </c>
      <c r="H24" s="4" t="s">
        <v>223</v>
      </c>
      <c r="I24" s="4" t="s">
        <v>82</v>
      </c>
      <c r="J24" s="4" t="s">
        <v>23</v>
      </c>
      <c r="K24" s="4" t="s">
        <v>50</v>
      </c>
      <c r="L24" s="4" t="s">
        <v>58</v>
      </c>
      <c r="M24" s="5">
        <f t="shared" si="2"/>
        <v>4</v>
      </c>
      <c r="N24" s="5">
        <f t="shared" si="3"/>
        <v>3</v>
      </c>
      <c r="O24" s="5">
        <f t="shared" si="4"/>
        <v>12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" t="s">
        <v>105</v>
      </c>
      <c r="B25" s="4">
        <f t="shared" si="1"/>
        <v>4</v>
      </c>
      <c r="C25" s="4" t="s">
        <v>106</v>
      </c>
      <c r="D25" s="4" t="s">
        <v>107</v>
      </c>
      <c r="E25" s="4" t="s">
        <v>101</v>
      </c>
      <c r="F25" s="4" t="s">
        <v>108</v>
      </c>
      <c r="G25" s="4" t="s">
        <v>109</v>
      </c>
      <c r="H25" s="4" t="s">
        <v>224</v>
      </c>
      <c r="I25" s="4" t="s">
        <v>22</v>
      </c>
      <c r="J25" s="4" t="s">
        <v>67</v>
      </c>
      <c r="K25" s="4" t="s">
        <v>24</v>
      </c>
      <c r="L25" s="4" t="s">
        <v>25</v>
      </c>
      <c r="M25" s="5">
        <f t="shared" si="2"/>
        <v>3</v>
      </c>
      <c r="N25" s="5">
        <f t="shared" si="3"/>
        <v>4</v>
      </c>
      <c r="O25" s="5">
        <f t="shared" si="4"/>
        <v>12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" t="s">
        <v>35</v>
      </c>
      <c r="B26" s="4">
        <f t="shared" si="1"/>
        <v>1</v>
      </c>
      <c r="C26" s="4" t="s">
        <v>36</v>
      </c>
      <c r="D26" s="4" t="s">
        <v>37</v>
      </c>
      <c r="E26" s="4" t="s">
        <v>38</v>
      </c>
      <c r="F26" s="4" t="s">
        <v>39</v>
      </c>
      <c r="G26" s="4" t="s">
        <v>40</v>
      </c>
      <c r="H26" s="4" t="s">
        <v>225</v>
      </c>
      <c r="I26" s="4" t="s">
        <v>42</v>
      </c>
      <c r="J26" s="4" t="s">
        <v>23</v>
      </c>
      <c r="K26" s="4" t="s">
        <v>24</v>
      </c>
      <c r="L26" s="4" t="s">
        <v>25</v>
      </c>
      <c r="M26" s="5">
        <f t="shared" si="2"/>
        <v>4</v>
      </c>
      <c r="N26" s="5">
        <f t="shared" si="3"/>
        <v>4</v>
      </c>
      <c r="O26" s="5">
        <f t="shared" si="4"/>
        <v>16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conditionalFormatting sqref="J2:J26">
    <cfRule type="notContainsBlanks" dxfId="0" priority="1">
      <formula>LEN(TRIM(J2))&gt;0</formula>
    </cfRule>
  </conditionalFormatting>
  <conditionalFormatting sqref="C2:C996">
    <cfRule type="containsBlanks" dxfId="1" priority="2">
      <formula>LEN(TRIM(C2))=0</formula>
    </cfRule>
  </conditionalFormatting>
  <conditionalFormatting sqref="C2:C996">
    <cfRule type="expression" dxfId="2" priority="3">
      <formula>$O2&gt;=15</formula>
    </cfRule>
  </conditionalFormatting>
  <conditionalFormatting sqref="C2:C996">
    <cfRule type="expression" dxfId="3" priority="4">
      <formula>AND($O2&lt;=14, $O2&gt;=8)</formula>
    </cfRule>
  </conditionalFormatting>
  <conditionalFormatting sqref="C2:C996">
    <cfRule type="expression" dxfId="0" priority="5">
      <formula>$O2&lt;8</formula>
    </cfRule>
  </conditionalFormatting>
  <dataValidations>
    <dataValidation type="list" allowBlank="1" showErrorMessage="1" sqref="J2:J26">
      <formula1>"Almost Certain,Likely,Possible,Unlikely,Rare"</formula1>
    </dataValidation>
    <dataValidation type="list" allowBlank="1" showErrorMessage="1" sqref="I2:I26">
      <formula1>"Zi Jian,Athena,Chloie,Quang,Chong Yao,Nelly,Anthony"</formula1>
    </dataValidation>
    <dataValidation type="list" allowBlank="1" showErrorMessage="1" sqref="L2:L26">
      <formula1>"Open,In Progress,Monitoring,Escalated,Occurred,Closed"</formula1>
    </dataValidation>
    <dataValidation type="list" allowBlank="1" showErrorMessage="1" sqref="K2:K26">
      <formula1>"Catastrophic,Major,Moderate,Minor,Negligible"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75"/>
    <col customWidth="1" min="3" max="3" width="13.88"/>
    <col customWidth="1" min="4" max="5" width="13.75"/>
    <col customWidth="1" min="6" max="6" width="14.38"/>
  </cols>
  <sheetData>
    <row r="1" ht="27.0" customHeight="1">
      <c r="A1" s="8" t="s">
        <v>226</v>
      </c>
      <c r="B1" s="8" t="s">
        <v>227</v>
      </c>
      <c r="C1" s="8" t="s">
        <v>181</v>
      </c>
      <c r="D1" s="8" t="s">
        <v>50</v>
      </c>
      <c r="E1" s="8" t="s">
        <v>24</v>
      </c>
      <c r="F1" s="8" t="s">
        <v>119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228</v>
      </c>
      <c r="B2" s="11" t="str">
        <f>IFERROR(__xludf.DUMMYFUNCTION("IFERROR(TEXTJOIN(""  "", TRUE, FILTER('Risk Register'!$A$2:$A1000, 'Risk Register'!$M$2:$M1000=1, 'Risk Register'!$N$2:$N1000=1)))"),"")</f>
        <v/>
      </c>
      <c r="C2" s="11" t="str">
        <f>IFERROR(__xludf.DUMMYFUNCTION("IFERROR(TEXTJOIN(""  "", TRUE, FILTER('Risk Register'!$A$2:$A1000, 'Risk Register'!$M$2:$M1000=1, 'Risk Register'!$N$2:$N1000=2)))"),"")</f>
        <v/>
      </c>
      <c r="D2" s="11" t="str">
        <f>IFERROR(__xludf.DUMMYFUNCTION("IFERROR(TEXTJOIN(""  "", TRUE, FILTER('Risk Register'!$A$2:$A1000, 'Risk Register'!$M$2:$M1000=1, 'Risk Register'!$N$2:$N1000=3)))"),"")</f>
        <v/>
      </c>
      <c r="E2" s="11" t="str">
        <f>IFERROR(__xludf.DUMMYFUNCTION("IFERROR(TEXTJOIN(""  "", TRUE, FILTER('Risk Register'!$A$2:$A1000, 'Risk Register'!$M$2:$M1000=1, 'Risk Register'!$N$2:$N1000=4)))"),"")</f>
        <v/>
      </c>
      <c r="F2" s="11" t="str">
        <f>IFERROR(__xludf.DUMMYFUNCTION("IFERROR(TEXTJOIN(""  "", TRUE, FILTER('Risk Register'!$A$2:$A1000, 'Risk Register'!$M$2:$M1000=1, 'Risk Register'!$N$2:$N1000=5)))"),"")</f>
        <v/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118</v>
      </c>
      <c r="B3" s="11" t="str">
        <f>IFERROR(__xludf.DUMMYFUNCTION("IFERROR(TEXTJOIN(""  "", TRUE, FILTER('Risk Register'!$A$2:$A1000, 'Risk Register'!$M$2:$M1000=2, 'Risk Register'!$N$2:$N1000=1)))"),"")</f>
        <v/>
      </c>
      <c r="C3" s="11" t="str">
        <f>IFERROR(__xludf.DUMMYFUNCTION("IFERROR(TEXTJOIN(""  "", TRUE, FILTER('Risk Register'!$A$2:$A1000, 'Risk Register'!$M$2:$M1000=2, 'Risk Register'!$N$2:$N1000=2)))"),"R06")</f>
        <v>R06</v>
      </c>
      <c r="D3" s="11" t="str">
        <f>IFERROR(__xludf.DUMMYFUNCTION("IFERROR(TEXTJOIN(""  "", TRUE, FILTER('Risk Register'!$A$2:$A1000, 'Risk Register'!$M$2:$M1000=2, 'Risk Register'!$N$2:$N1000=3)))"),"R13")</f>
        <v>R13</v>
      </c>
      <c r="E3" s="11" t="str">
        <f>IFERROR(__xludf.DUMMYFUNCTION("IFERROR(TEXTJOIN(""  "", TRUE, FILTER('Risk Register'!$A$2:$A1000, 'Risk Register'!$M$2:$M1000=2, 'Risk Register'!$N$2:$N1000=4)))"),"R05")</f>
        <v>R05</v>
      </c>
      <c r="F3" s="11" t="str">
        <f>IFERROR(__xludf.DUMMYFUNCTION("IFERROR(TEXTJOIN(""  "", TRUE, FILTER('Risk Register'!$A$2:$A1000, 'Risk Register'!$M$2:$M1000=2, 'Risk Register'!$N$2:$N1000=5)))"),"R14")</f>
        <v>R14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67</v>
      </c>
      <c r="B4" s="11" t="str">
        <f>IFERROR(__xludf.DUMMYFUNCTION("IFERROR(TEXTJOIN(""  "", TRUE, FILTER('Risk Register'!$A$2:$A1000, 'Risk Register'!$M$2:$M1000=3, 'Risk Register'!$N$2:$N1000=1)))"),"")</f>
        <v/>
      </c>
      <c r="C4" s="11" t="str">
        <f>IFERROR(__xludf.DUMMYFUNCTION("IFERROR(TEXTJOIN(""  "", TRUE, FILTER('Risk Register'!$A$2:$A1000, 'Risk Register'!$M$2:$M1000=3, 'Risk Register'!$N$2:$N1000=2)))"),"R10  R19")</f>
        <v>R10  R19</v>
      </c>
      <c r="D4" s="11" t="str">
        <f>IFERROR(__xludf.DUMMYFUNCTION("IFERROR(TEXTJOIN(""  "", TRUE, FILTER('Risk Register'!$A$2:$A1000, 'Risk Register'!$M$2:$M1000=3, 'Risk Register'!$N$2:$N1000=3)))"),"R02  R09  R12  R15  R18  R21  R22")</f>
        <v>R02  R09  R12  R15  R18  R21  R22</v>
      </c>
      <c r="E4" s="11" t="str">
        <f>IFERROR(__xludf.DUMMYFUNCTION("IFERROR(TEXTJOIN(""  "", TRUE, FILTER('Risk Register'!$A$2:$A1000, 'Risk Register'!$M$2:$M1000=3, 'Risk Register'!$N$2:$N1000=4)))"),"R07  R11  R24")</f>
        <v>R07  R11  R24</v>
      </c>
      <c r="F4" s="11" t="str">
        <f>IFERROR(__xludf.DUMMYFUNCTION("IFERROR(TEXTJOIN(""  "", TRUE, FILTER('Risk Register'!$A$2:$A1000, 'Risk Register'!$M$2:$M1000=3, 'Risk Register'!$N$2:$N1000=5)))"),"")</f>
        <v/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23</v>
      </c>
      <c r="B5" s="11" t="str">
        <f>IFERROR(__xludf.DUMMYFUNCTION("IFERROR(TEXTJOIN(""  "", TRUE, FILTER('Risk Register'!$A$2:$A1000, 'Risk Register'!$M$2:$M1000=4, 'Risk Register'!$N$2:$N1000=1)))"),"")</f>
        <v/>
      </c>
      <c r="C5" s="11" t="str">
        <f>IFERROR(__xludf.DUMMYFUNCTION("IFERROR(TEXTJOIN(""  "", TRUE, FILTER('Risk Register'!$A$2:$A1000, 'Risk Register'!$M$2:$M1000=4, 'Risk Register'!$N$2:$N1000=2)))"),"")</f>
        <v/>
      </c>
      <c r="D5" s="11" t="str">
        <f>IFERROR(__xludf.DUMMYFUNCTION("IFERROR(TEXTJOIN(""  "", TRUE, FILTER('Risk Register'!$A$2:$A1000, 'Risk Register'!$M$2:$M1000=4, 'Risk Register'!$N$2:$N1000=3)))"),"R01  R04  R16  R17  R20  R23")</f>
        <v>R01  R04  R16  R17  R20  R23</v>
      </c>
      <c r="E5" s="11" t="str">
        <f>IFERROR(__xludf.DUMMYFUNCTION("IFERROR(TEXTJOIN(""  "", TRUE, FILTER('Risk Register'!$A$2:$A1000, 'Risk Register'!$M$2:$M1000=4, 'Risk Register'!$N$2:$N1000=4)))"),"R03  R08  R25")</f>
        <v>R03  R08  R25</v>
      </c>
      <c r="F5" s="11" t="str">
        <f>IFERROR(__xludf.DUMMYFUNCTION("IFERROR(TEXTJOIN(""  "", TRUE, FILTER('Risk Register'!$A$2:$A1000, 'Risk Register'!$M$2:$M1000=4, 'Risk Register'!$N$2:$N1000=5)))"),"")</f>
        <v/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 t="s">
        <v>229</v>
      </c>
      <c r="B6" s="11" t="str">
        <f>IFERROR(__xludf.DUMMYFUNCTION("IFERROR(TEXTJOIN(""  "", TRUE, FILTER('Risk Register'!$A$2:$A1000, 'Risk Register'!$M$2:$M1000=5, 'Risk Register'!$N$2:$N1000=1)))"),"")</f>
        <v/>
      </c>
      <c r="C6" s="11" t="str">
        <f>IFERROR(__xludf.DUMMYFUNCTION("IFERROR(TEXTJOIN(""  "", TRUE, FILTER('Risk Register'!$A$2:$A1000, 'Risk Register'!$M$2:$M1000=5, 'Risk Register'!$N$2:$N1000=2)))"),"")</f>
        <v/>
      </c>
      <c r="D6" s="11" t="str">
        <f>IFERROR(__xludf.DUMMYFUNCTION("IFERROR(TEXTJOIN(""  "", TRUE, FILTER('Risk Register'!$A$2:$A1000, 'Risk Register'!$M$2:$M1000=5, 'Risk Register'!$N$2:$N1000=3)))"),"")</f>
        <v/>
      </c>
      <c r="E6" s="11" t="str">
        <f>IFERROR(__xludf.DUMMYFUNCTION("IFERROR(TEXTJOIN(""  "", TRUE, FILTER('Risk Register'!$A$2:$A1000, 'Risk Register'!$M$2:$M1000=5, 'Risk Register'!$N$2:$N1000=4)))"),"")</f>
        <v/>
      </c>
      <c r="F6" s="11" t="str">
        <f>IFERROR(__xludf.DUMMYFUNCTION("IFERROR(TEXTJOIN(""  "", TRUE, FILTER('Risk Register'!$A$2:$A1000, 'Risk Register'!$M$2:$M1000=5, 'Risk Register'!$N$2:$N1000=5)))"),"")</f>
        <v/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conditionalFormatting sqref="B2:B6 C2:C4 D2:D3 E2:F2">
    <cfRule type="containsBlanks" dxfId="0" priority="1">
      <formula>LEN(TRIM(B2))=0</formula>
    </cfRule>
  </conditionalFormatting>
  <conditionalFormatting sqref="B2:B6 C2:C4 D2:D3 E2:F2">
    <cfRule type="notContainsBlanks" dxfId="0" priority="2">
      <formula>LEN(TRIM(B2))&gt;0</formula>
    </cfRule>
  </conditionalFormatting>
  <conditionalFormatting sqref="C5:C6 D4:D5 E3:E4 F3">
    <cfRule type="notContainsBlanks" dxfId="3" priority="3">
      <formula>LEN(TRIM(C5))&gt;0</formula>
    </cfRule>
  </conditionalFormatting>
  <conditionalFormatting sqref="C5:C6 D4:D5 E3:E4 F3">
    <cfRule type="containsBlanks" dxfId="3" priority="4">
      <formula>LEN(TRIM(C5))=0</formula>
    </cfRule>
  </conditionalFormatting>
  <conditionalFormatting sqref="F4 E5:F5 D6:F6">
    <cfRule type="notContainsBlanks" dxfId="2" priority="5">
      <formula>LEN(TRIM(F4))&gt;0</formula>
    </cfRule>
  </conditionalFormatting>
  <conditionalFormatting sqref="F4 E5:F5 D6:F6">
    <cfRule type="containsBlanks" dxfId="2" priority="6">
      <formula>LEN(TRIM(F4))=0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6.38"/>
    <col customWidth="1" min="3" max="3" width="16.13"/>
    <col customWidth="1" min="4" max="4" width="24.88"/>
    <col customWidth="1" min="5" max="5" width="16.25"/>
    <col customWidth="1" min="6" max="6" width="16.5"/>
    <col customWidth="1" min="7" max="7" width="15.88"/>
    <col customWidth="1" min="8" max="8" width="19.38"/>
    <col customWidth="1" min="10" max="10" width="12.5"/>
    <col customWidth="1" min="12" max="12" width="11.25"/>
    <col customWidth="1" min="13" max="13" width="11.63"/>
  </cols>
  <sheetData>
    <row r="1">
      <c r="A1" s="12" t="str">
        <f>IFERROR(__xludf.DUMMYFUNCTION("QUERY(
  'Risk Register'!A:L,
  ""select *
   limit 10"",
  1
)"),"No.")</f>
        <v>No.</v>
      </c>
      <c r="B1" s="12" t="str">
        <f>IFERROR(__xludf.DUMMYFUNCTION("""COMPUTED_VALUE"""),"Rank")</f>
        <v>Rank</v>
      </c>
      <c r="C1" s="12" t="str">
        <f>IFERROR(__xludf.DUMMYFUNCTION("""COMPUTED_VALUE"""),"Risk")</f>
        <v>Risk</v>
      </c>
      <c r="D1" s="12" t="str">
        <f>IFERROR(__xludf.DUMMYFUNCTION("""COMPUTED_VALUE"""),"Description")</f>
        <v>Description</v>
      </c>
      <c r="E1" s="12" t="str">
        <f>IFERROR(__xludf.DUMMYFUNCTION("""COMPUTED_VALUE"""),"Category")</f>
        <v>Category</v>
      </c>
      <c r="F1" s="12" t="str">
        <f>IFERROR(__xludf.DUMMYFUNCTION("""COMPUTED_VALUE"""),"Root Cause")</f>
        <v>Root Cause</v>
      </c>
      <c r="G1" s="12" t="str">
        <f>IFERROR(__xludf.DUMMYFUNCTION("""COMPUTED_VALUE"""),"Triggers")</f>
        <v>Triggers</v>
      </c>
      <c r="H1" s="12" t="str">
        <f>IFERROR(__xludf.DUMMYFUNCTION("""COMPUTED_VALUE"""),"Potential Responses")</f>
        <v>Potential Responses</v>
      </c>
      <c r="I1" s="12" t="str">
        <f>IFERROR(__xludf.DUMMYFUNCTION("""COMPUTED_VALUE"""),"Risk Owner")</f>
        <v>Risk Owner</v>
      </c>
      <c r="J1" s="12" t="str">
        <f>IFERROR(__xludf.DUMMYFUNCTION("""COMPUTED_VALUE"""),"Probability")</f>
        <v>Probability</v>
      </c>
      <c r="K1" s="12" t="str">
        <f>IFERROR(__xludf.DUMMYFUNCTION("""COMPUTED_VALUE"""),"Impact")</f>
        <v>Impact</v>
      </c>
      <c r="L1" s="12" t="str">
        <f>IFERROR(__xludf.DUMMYFUNCTION("""COMPUTED_VALUE"""),"Status")</f>
        <v>Status</v>
      </c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tr">
        <f>IFERROR(__xludf.DUMMYFUNCTION("""COMPUTED_VALUE"""),"R03")</f>
        <v>R03</v>
      </c>
      <c r="B2" s="15">
        <f>IFERROR(__xludf.DUMMYFUNCTION("""COMPUTED_VALUE"""),1.0)</f>
        <v>1</v>
      </c>
      <c r="C2" s="15" t="str">
        <f>IFERROR(__xludf.DUMMYFUNCTION("""COMPUTED_VALUE"""),"Competitor apps")</f>
        <v>Competitor apps</v>
      </c>
      <c r="D2" s="15" t="str">
        <f>IFERROR(__xludf.DUMMYFUNCTION("""COMPUTED_VALUE"""),"Platforms like PetBacker and Pawshake already exist with market share")</f>
        <v>Platforms like PetBacker and Pawshake already exist with market share</v>
      </c>
      <c r="E2" s="15" t="str">
        <f>IFERROR(__xludf.DUMMYFUNCTION("""COMPUTED_VALUE"""),"Competitors 
(Business)")</f>
        <v>Competitors 
(Business)</v>
      </c>
      <c r="F2" s="15" t="str">
        <f>IFERROR(__xludf.DUMMYFUNCTION("""COMPUTED_VALUE"""),"Strong existing competitors with more features and funding")</f>
        <v>Strong existing competitors with more features and funding</v>
      </c>
      <c r="G2" s="15" t="str">
        <f>IFERROR(__xludf.DUMMYFUNCTION("""COMPUTED_VALUE"""),"Users trust and prefer existing apps")</f>
        <v>Users trust and prefer existing apps</v>
      </c>
      <c r="H2" s="15" t="str">
        <f>IFERROR(__xludf.DUMMYFUNCTION("""COMPUTED_VALUE"""),"Mitigate: Focus on niche differentiation, local market focus")</f>
        <v>Mitigate: Focus on niche differentiation, local market focus</v>
      </c>
      <c r="I2" s="15" t="str">
        <f>IFERROR(__xludf.DUMMYFUNCTION("""COMPUTED_VALUE"""),"Chloie")</f>
        <v>Chloie</v>
      </c>
      <c r="J2" s="15" t="str">
        <f>IFERROR(__xludf.DUMMYFUNCTION("""COMPUTED_VALUE"""),"Likely")</f>
        <v>Likely</v>
      </c>
      <c r="K2" s="15" t="str">
        <f>IFERROR(__xludf.DUMMYFUNCTION("""COMPUTED_VALUE"""),"Major")</f>
        <v>Major</v>
      </c>
      <c r="L2" s="15" t="str">
        <f>IFERROR(__xludf.DUMMYFUNCTION("""COMPUTED_VALUE"""),"Open")</f>
        <v>Open</v>
      </c>
      <c r="M2" s="15"/>
      <c r="N2" s="15"/>
      <c r="O2" s="15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 t="str">
        <f>IFERROR(__xludf.DUMMYFUNCTION("""COMPUTED_VALUE"""),"R08")</f>
        <v>R08</v>
      </c>
      <c r="B3" s="15">
        <f>IFERROR(__xludf.DUMMYFUNCTION("""COMPUTED_VALUE"""),1.0)</f>
        <v>1</v>
      </c>
      <c r="C3" s="15" t="str">
        <f>IFERROR(__xludf.DUMMYFUNCTION("""COMPUTED_VALUE"""),"Critical software bugs")</f>
        <v>Critical software bugs</v>
      </c>
      <c r="D3" s="15" t="str">
        <f>IFERROR(__xludf.DUMMYFUNCTION("""COMPUTED_VALUE"""),"Defects break major flows or data")</f>
        <v>Defects break major flows or data</v>
      </c>
      <c r="E3" s="15" t="str">
        <f>IFERROR(__xludf.DUMMYFUNCTION("""COMPUTED_VALUE"""),"Software
(Technical)")</f>
        <v>Software
(Technical)</v>
      </c>
      <c r="F3" s="15" t="str">
        <f>IFERROR(__xludf.DUMMYFUNCTION("""COMPUTED_VALUE"""),"Inadequate testing")</f>
        <v>Inadequate testing</v>
      </c>
      <c r="G3" s="15" t="str">
        <f>IFERROR(__xludf.DUMMYFUNCTION("""COMPUTED_VALUE"""),"Crashes or major bugs")</f>
        <v>Crashes or major bugs</v>
      </c>
      <c r="H3" s="15" t="str">
        <f>IFERROR(__xludf.DUMMYFUNCTION("""COMPUTED_VALUE"""),"Mitigate: Unit and integration tests, peer reviews, bug tracking")</f>
        <v>Mitigate: Unit and integration tests, peer reviews, bug tracking</v>
      </c>
      <c r="I3" s="15" t="str">
        <f>IFERROR(__xludf.DUMMYFUNCTION("""COMPUTED_VALUE"""),"Zi Jian")</f>
        <v>Zi Jian</v>
      </c>
      <c r="J3" s="15" t="str">
        <f>IFERROR(__xludf.DUMMYFUNCTION("""COMPUTED_VALUE"""),"Likely")</f>
        <v>Likely</v>
      </c>
      <c r="K3" s="15" t="str">
        <f>IFERROR(__xludf.DUMMYFUNCTION("""COMPUTED_VALUE"""),"Major")</f>
        <v>Major</v>
      </c>
      <c r="L3" s="15" t="str">
        <f>IFERROR(__xludf.DUMMYFUNCTION("""COMPUTED_VALUE"""),"In Progress")</f>
        <v>In Progress</v>
      </c>
      <c r="M3" s="15"/>
      <c r="N3" s="15"/>
      <c r="O3" s="15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 t="str">
        <f>IFERROR(__xludf.DUMMYFUNCTION("""COMPUTED_VALUE"""),"R25")</f>
        <v>R25</v>
      </c>
      <c r="B4" s="15">
        <f>IFERROR(__xludf.DUMMYFUNCTION("""COMPUTED_VALUE"""),1.0)</f>
        <v>1</v>
      </c>
      <c r="C4" s="15" t="str">
        <f>IFERROR(__xludf.DUMMYFUNCTION("""COMPUTED_VALUE"""),"Scope Creep")</f>
        <v>Scope Creep</v>
      </c>
      <c r="D4" s="15" t="str">
        <f>IFERROR(__xludf.DUMMYFUNCTION("""COMPUTED_VALUE"""),"Uncontrolled scope growth mid-sprint")</f>
        <v>Uncontrolled scope growth mid-sprint</v>
      </c>
      <c r="E4" s="15" t="str">
        <f>IFERROR(__xludf.DUMMYFUNCTION("""COMPUTED_VALUE"""),"Scope Creep
(Project Management)")</f>
        <v>Scope Creep
(Project Management)</v>
      </c>
      <c r="F4" s="15" t="str">
        <f>IFERROR(__xludf.DUMMYFUNCTION("""COMPUTED_VALUE"""),"Weak change control")</f>
        <v>Weak change control</v>
      </c>
      <c r="G4" s="15" t="str">
        <f>IFERROR(__xludf.DUMMYFUNCTION("""COMPUTED_VALUE"""),"Adhoc feature requests")</f>
        <v>Adhoc feature requests</v>
      </c>
      <c r="H4" s="15" t="str">
        <f>IFERROR(__xludf.DUMMYFUNCTION("""COMPUTED_VALUE"""),"Mitigate: Apply change request approval process")</f>
        <v>Mitigate: Apply change request approval process</v>
      </c>
      <c r="I4" s="15" t="str">
        <f>IFERROR(__xludf.DUMMYFUNCTION("""COMPUTED_VALUE"""),"Quang")</f>
        <v>Quang</v>
      </c>
      <c r="J4" s="15" t="str">
        <f>IFERROR(__xludf.DUMMYFUNCTION("""COMPUTED_VALUE"""),"Likely")</f>
        <v>Likely</v>
      </c>
      <c r="K4" s="15" t="str">
        <f>IFERROR(__xludf.DUMMYFUNCTION("""COMPUTED_VALUE"""),"Major")</f>
        <v>Major</v>
      </c>
      <c r="L4" s="15" t="str">
        <f>IFERROR(__xludf.DUMMYFUNCTION("""COMPUTED_VALUE"""),"Open")</f>
        <v>Open</v>
      </c>
      <c r="M4" s="15"/>
      <c r="N4" s="15"/>
      <c r="O4" s="15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 t="str">
        <f>IFERROR(__xludf.DUMMYFUNCTION("""COMPUTED_VALUE"""),"R01")</f>
        <v>R01</v>
      </c>
      <c r="B5" s="15">
        <f>IFERROR(__xludf.DUMMYFUNCTION("""COMPUTED_VALUE"""),4.0)</f>
        <v>4</v>
      </c>
      <c r="C5" s="15" t="str">
        <f>IFERROR(__xludf.DUMMYFUNCTION("""COMPUTED_VALUE"""),"Low adoption due to poor usability")</f>
        <v>Low adoption due to poor usability</v>
      </c>
      <c r="D5" s="15" t="str">
        <f>IFERROR(__xludf.DUMMYFUNCTION("""COMPUTED_VALUE"""),"Users may not use the app if onboarding or navigation is confusing")</f>
        <v>Users may not use the app if onboarding or navigation is confusing</v>
      </c>
      <c r="E5" s="15" t="str">
        <f>IFERROR(__xludf.DUMMYFUNCTION("""COMPUTED_VALUE"""),"Customer Adoption
(Business)")</f>
        <v>Customer Adoption
(Business)</v>
      </c>
      <c r="F5" s="15" t="str">
        <f>IFERROR(__xludf.DUMMYFUNCTION("""COMPUTED_VALUE"""),"Weak UI/UX design, no usability testing conducted")</f>
        <v>Weak UI/UX design, no usability testing conducted</v>
      </c>
      <c r="G5" s="15" t="str">
        <f>IFERROR(__xludf.DUMMYFUNCTION("""COMPUTED_VALUE"""),"Drop-off during sign up, low retention")</f>
        <v>Drop-off during sign up, low retention</v>
      </c>
      <c r="H5" s="15" t="str">
        <f>IFERROR(__xludf.DUMMYFUNCTION("""COMPUTED_VALUE"""),"Mitigate: Conduct usability testing, simplify onboarding, gather feedback")</f>
        <v>Mitigate: Conduct usability testing, simplify onboarding, gather feedback</v>
      </c>
      <c r="I5" s="15" t="str">
        <f>IFERROR(__xludf.DUMMYFUNCTION("""COMPUTED_VALUE"""),"Zi Jian")</f>
        <v>Zi Jian</v>
      </c>
      <c r="J5" s="15" t="str">
        <f>IFERROR(__xludf.DUMMYFUNCTION("""COMPUTED_VALUE"""),"Likely")</f>
        <v>Likely</v>
      </c>
      <c r="K5" s="15" t="str">
        <f>IFERROR(__xludf.DUMMYFUNCTION("""COMPUTED_VALUE"""),"Moderate")</f>
        <v>Moderate</v>
      </c>
      <c r="L5" s="15" t="str">
        <f>IFERROR(__xludf.DUMMYFUNCTION("""COMPUTED_VALUE"""),"Open")</f>
        <v>Open</v>
      </c>
      <c r="M5" s="15"/>
      <c r="N5" s="15"/>
      <c r="O5" s="15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 t="str">
        <f>IFERROR(__xludf.DUMMYFUNCTION("""COMPUTED_VALUE"""),"R04")</f>
        <v>R04</v>
      </c>
      <c r="B6" s="15">
        <f>IFERROR(__xludf.DUMMYFUNCTION("""COMPUTED_VALUE"""),4.0)</f>
        <v>4</v>
      </c>
      <c r="C6" s="15" t="str">
        <f>IFERROR(__xludf.DUMMYFUNCTION("""COMPUTED_VALUE"""),"Limited budget for tools")</f>
        <v>Limited budget for tools</v>
      </c>
      <c r="D6" s="15" t="str">
        <f>IFERROR(__xludf.DUMMYFUNCTION("""COMPUTED_VALUE"""),"Budget limits restrict paid APIs or hosting services needed for final delivery")</f>
        <v>Budget limits restrict paid APIs or hosting services needed for final delivery</v>
      </c>
      <c r="E6" s="15" t="str">
        <f>IFERROR(__xludf.DUMMYFUNCTION("""COMPUTED_VALUE"""),"Cash Flow
(Business)")</f>
        <v>Cash Flow
(Business)</v>
      </c>
      <c r="F6" s="15" t="str">
        <f>IFERROR(__xludf.DUMMYFUNCTION("""COMPUTED_VALUE"""),"Insufficient funds")</f>
        <v>Insufficient funds</v>
      </c>
      <c r="G6" s="15" t="str">
        <f>IFERROR(__xludf.DUMMYFUNCTION("""COMPUTED_VALUE"""),"Blocked access to tools")</f>
        <v>Blocked access to tools</v>
      </c>
      <c r="H6" s="15" t="str">
        <f>IFERROR(__xludf.DUMMYFUNCTION("""COMPUTED_VALUE"""),"Mitigate: Use open-source tools and student licenses")</f>
        <v>Mitigate: Use open-source tools and student licenses</v>
      </c>
      <c r="I6" s="15" t="str">
        <f>IFERROR(__xludf.DUMMYFUNCTION("""COMPUTED_VALUE"""),"Quang")</f>
        <v>Quang</v>
      </c>
      <c r="J6" s="15" t="str">
        <f>IFERROR(__xludf.DUMMYFUNCTION("""COMPUTED_VALUE"""),"Likely")</f>
        <v>Likely</v>
      </c>
      <c r="K6" s="15" t="str">
        <f>IFERROR(__xludf.DUMMYFUNCTION("""COMPUTED_VALUE"""),"Moderate")</f>
        <v>Moderate</v>
      </c>
      <c r="L6" s="15" t="str">
        <f>IFERROR(__xludf.DUMMYFUNCTION("""COMPUTED_VALUE"""),"Monitoring")</f>
        <v>Monitoring</v>
      </c>
      <c r="M6" s="15"/>
      <c r="N6" s="15"/>
      <c r="O6" s="15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 t="str">
        <f>IFERROR(__xludf.DUMMYFUNCTION("""COMPUTED_VALUE"""),"R07")</f>
        <v>R07</v>
      </c>
      <c r="B7" s="15">
        <f>IFERROR(__xludf.DUMMYFUNCTION("""COMPUTED_VALUE"""),4.0)</f>
        <v>4</v>
      </c>
      <c r="C7" s="15" t="str">
        <f>IFERROR(__xludf.DUMMYFUNCTION("""COMPUTED_VALUE"""),"Deployment environment failure")</f>
        <v>Deployment environment failure</v>
      </c>
      <c r="D7" s="15" t="str">
        <f>IFERROR(__xludf.DUMMYFUNCTION("""COMPUTED_VALUE"""),"Hosting/misconfiguration will cause downtime near demo/submission")</f>
        <v>Hosting/misconfiguration will cause downtime near demo/submission</v>
      </c>
      <c r="E7" s="15" t="str">
        <f>IFERROR(__xludf.DUMMYFUNCTION("""COMPUTED_VALUE"""),"Hardware
(Technical)")</f>
        <v>Hardware
(Technical)</v>
      </c>
      <c r="F7" s="15" t="str">
        <f>IFERROR(__xludf.DUMMYFUNCTION("""COMPUTED_VALUE"""),"Misconfigured pipeline/host")</f>
        <v>Misconfigured pipeline/host</v>
      </c>
      <c r="G7" s="15" t="str">
        <f>IFERROR(__xludf.DUMMYFUNCTION("""COMPUTED_VALUE"""),"Unavailable app")</f>
        <v>Unavailable app</v>
      </c>
      <c r="H7" s="15" t="str">
        <f>IFERROR(__xludf.DUMMYFUNCTION("""COMPUTED_VALUE"""),"Mitigate: Conduct early deployment tests and maintain working backups")</f>
        <v>Mitigate: Conduct early deployment tests and maintain working backups</v>
      </c>
      <c r="I7" s="15" t="str">
        <f>IFERROR(__xludf.DUMMYFUNCTION("""COMPUTED_VALUE"""),"Anthony")</f>
        <v>Anthony</v>
      </c>
      <c r="J7" s="15" t="str">
        <f>IFERROR(__xludf.DUMMYFUNCTION("""COMPUTED_VALUE"""),"Possible")</f>
        <v>Possible</v>
      </c>
      <c r="K7" s="15" t="str">
        <f>IFERROR(__xludf.DUMMYFUNCTION("""COMPUTED_VALUE"""),"Major")</f>
        <v>Major</v>
      </c>
      <c r="L7" s="15" t="str">
        <f>IFERROR(__xludf.DUMMYFUNCTION("""COMPUTED_VALUE"""),"In Progress")</f>
        <v>In Progress</v>
      </c>
      <c r="M7" s="15"/>
      <c r="N7" s="15"/>
      <c r="O7" s="15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5" t="str">
        <f>IFERROR(__xludf.DUMMYFUNCTION("""COMPUTED_VALUE"""),"R11")</f>
        <v>R11</v>
      </c>
      <c r="B8" s="15">
        <f>IFERROR(__xludf.DUMMYFUNCTION("""COMPUTED_VALUE"""),4.0)</f>
        <v>4</v>
      </c>
      <c r="C8" s="15" t="str">
        <f>IFERROR(__xludf.DUMMYFUNCTION("""COMPUTED_VALUE"""),"API integration failure")</f>
        <v>API integration failure</v>
      </c>
      <c r="D8" s="15" t="str">
        <f>IFERROR(__xludf.DUMMYFUNCTION("""COMPUTED_VALUE"""),"Incorrect endpoints or API calls or data handling will cause errors between modules")</f>
        <v>Incorrect endpoints or API calls or data handling will cause errors between modules</v>
      </c>
      <c r="E8" s="15" t="str">
        <f>IFERROR(__xludf.DUMMYFUNCTION("""COMPUTED_VALUE"""),"Integration
(Technical)")</f>
        <v>Integration
(Technical)</v>
      </c>
      <c r="F8" s="15" t="str">
        <f>IFERROR(__xludf.DUMMYFUNCTION("""COMPUTED_VALUE"""),"Mismatched interfaces")</f>
        <v>Mismatched interfaces</v>
      </c>
      <c r="G8" s="15" t="str">
        <f>IFERROR(__xludf.DUMMYFUNCTION("""COMPUTED_VALUE"""),"Broken screens")</f>
        <v>Broken screens</v>
      </c>
      <c r="H8" s="15" t="str">
        <f>IFERROR(__xludf.DUMMYFUNCTION("""COMPUTED_VALUE"""),"Mitigate: Conduct API integration tests with mock data")</f>
        <v>Mitigate: Conduct API integration tests with mock data</v>
      </c>
      <c r="I8" s="15" t="str">
        <f>IFERROR(__xludf.DUMMYFUNCTION("""COMPUTED_VALUE"""),"Quang")</f>
        <v>Quang</v>
      </c>
      <c r="J8" s="15" t="str">
        <f>IFERROR(__xludf.DUMMYFUNCTION("""COMPUTED_VALUE"""),"Possible")</f>
        <v>Possible</v>
      </c>
      <c r="K8" s="15" t="str">
        <f>IFERROR(__xludf.DUMMYFUNCTION("""COMPUTED_VALUE"""),"Major")</f>
        <v>Major</v>
      </c>
      <c r="L8" s="15" t="str">
        <f>IFERROR(__xludf.DUMMYFUNCTION("""COMPUTED_VALUE"""),"Open")</f>
        <v>Open</v>
      </c>
      <c r="M8" s="15"/>
      <c r="N8" s="15"/>
      <c r="O8" s="15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5" t="str">
        <f>IFERROR(__xludf.DUMMYFUNCTION("""COMPUTED_VALUE"""),"R16")</f>
        <v>R16</v>
      </c>
      <c r="B9" s="15">
        <f>IFERROR(__xludf.DUMMYFUNCTION("""COMPUTED_VALUE"""),4.0)</f>
        <v>4</v>
      </c>
      <c r="C9" s="15" t="str">
        <f>IFERROR(__xludf.DUMMYFUNCTION("""COMPUTED_VALUE"""),"Lack of requirement validation")</f>
        <v>Lack of requirement validation</v>
      </c>
      <c r="D9" s="15" t="str">
        <f>IFERROR(__xludf.DUMMYFUNCTION("""COMPUTED_VALUE"""),"Wrong/partial features delivered/built in final product")</f>
        <v>Wrong/partial features delivered/built in final product</v>
      </c>
      <c r="E9" s="15" t="str">
        <f>IFERROR(__xludf.DUMMYFUNCTION("""COMPUTED_VALUE"""),"User Support
(Organizational)")</f>
        <v>User Support
(Organizational)</v>
      </c>
      <c r="F9" s="15" t="str">
        <f>IFERROR(__xludf.DUMMYFUNCTION("""COMPUTED_VALUE"""),"Skipped validation")</f>
        <v>Skipped validation</v>
      </c>
      <c r="G9" s="15" t="str">
        <f>IFERROR(__xludf.DUMMYFUNCTION("""COMPUTED_VALUE"""),"Rework and low satisfaction")</f>
        <v>Rework and low satisfaction</v>
      </c>
      <c r="H9" s="15" t="str">
        <f>IFERROR(__xludf.DUMMYFUNCTION("""COMPUTED_VALUE"""),"Mitigate: Validate requirements with stakeholder during lab sessions")</f>
        <v>Mitigate: Validate requirements with stakeholder during lab sessions</v>
      </c>
      <c r="I9" s="15" t="str">
        <f>IFERROR(__xludf.DUMMYFUNCTION("""COMPUTED_VALUE"""),"Athena")</f>
        <v>Athena</v>
      </c>
      <c r="J9" s="15" t="str">
        <f>IFERROR(__xludf.DUMMYFUNCTION("""COMPUTED_VALUE"""),"Likely")</f>
        <v>Likely</v>
      </c>
      <c r="K9" s="15" t="str">
        <f>IFERROR(__xludf.DUMMYFUNCTION("""COMPUTED_VALUE"""),"Moderate")</f>
        <v>Moderate</v>
      </c>
      <c r="L9" s="15" t="str">
        <f>IFERROR(__xludf.DUMMYFUNCTION("""COMPUTED_VALUE"""),"Open")</f>
        <v>Open</v>
      </c>
      <c r="M9" s="15"/>
      <c r="N9" s="15"/>
      <c r="O9" s="15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 t="str">
        <f>IFERROR(__xludf.DUMMYFUNCTION("""COMPUTED_VALUE"""),"R17")</f>
        <v>R17</v>
      </c>
      <c r="B10" s="15">
        <f>IFERROR(__xludf.DUMMYFUNCTION("""COMPUTED_VALUE"""),4.0)</f>
        <v>4</v>
      </c>
      <c r="C10" s="15" t="str">
        <f>IFERROR(__xludf.DUMMYFUNCTION("""COMPUTED_VALUE"""),"Imbalanced workload")</f>
        <v>Imbalanced workload</v>
      </c>
      <c r="D10" s="15" t="str">
        <f>IFERROR(__xludf.DUMMYFUNCTION("""COMPUTED_VALUE"""),"Some members may be overloaded with work causing burnouts and delays in delivery")</f>
        <v>Some members may be overloaded with work causing burnouts and delays in delivery</v>
      </c>
      <c r="E10" s="15" t="str">
        <f>IFERROR(__xludf.DUMMYFUNCTION("""COMPUTED_VALUE"""),"Team Support
(Organizational)")</f>
        <v>Team Support
(Organizational)</v>
      </c>
      <c r="F10" s="15" t="str">
        <f>IFERROR(__xludf.DUMMYFUNCTION("""COMPUTED_VALUE"""),"Poor task allocation")</f>
        <v>Poor task allocation</v>
      </c>
      <c r="G10" s="15" t="str">
        <f>IFERROR(__xludf.DUMMYFUNCTION("""COMPUTED_VALUE"""),"Missed tasks")</f>
        <v>Missed tasks</v>
      </c>
      <c r="H10" s="15" t="str">
        <f>IFERROR(__xludf.DUMMYFUNCTION("""COMPUTED_VALUE"""),"Mitigate: Track workloads, redistribute tasks accordingly")</f>
        <v>Mitigate: Track workloads, redistribute tasks accordingly</v>
      </c>
      <c r="I10" s="15" t="str">
        <f>IFERROR(__xludf.DUMMYFUNCTION("""COMPUTED_VALUE"""),"Chloie")</f>
        <v>Chloie</v>
      </c>
      <c r="J10" s="15" t="str">
        <f>IFERROR(__xludf.DUMMYFUNCTION("""COMPUTED_VALUE"""),"Likely")</f>
        <v>Likely</v>
      </c>
      <c r="K10" s="15" t="str">
        <f>IFERROR(__xludf.DUMMYFUNCTION("""COMPUTED_VALUE"""),"Moderate")</f>
        <v>Moderate</v>
      </c>
      <c r="L10" s="15" t="str">
        <f>IFERROR(__xludf.DUMMYFUNCTION("""COMPUTED_VALUE"""),"In Progress")</f>
        <v>In Progress</v>
      </c>
      <c r="M10" s="15"/>
      <c r="N10" s="15"/>
      <c r="O10" s="15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 t="str">
        <f>IFERROR(__xludf.DUMMYFUNCTION("""COMPUTED_VALUE"""),"R20")</f>
        <v>R20</v>
      </c>
      <c r="B11" s="15">
        <f>IFERROR(__xludf.DUMMYFUNCTION("""COMPUTED_VALUE"""),4.0)</f>
        <v>4</v>
      </c>
      <c r="C11" s="15" t="str">
        <f>IFERROR(__xludf.DUMMYFUNCTION("""COMPUTED_VALUE"""),"Underestimation of effort")</f>
        <v>Underestimation of effort</v>
      </c>
      <c r="D11" s="15" t="str">
        <f>IFERROR(__xludf.DUMMYFUNCTION("""COMPUTED_VALUE"""),"Tasks taking longer than planned")</f>
        <v>Tasks taking longer than planned</v>
      </c>
      <c r="E11" s="15" t="str">
        <f>IFERROR(__xludf.DUMMYFUNCTION("""COMPUTED_VALUE"""),"Estimates
(Project Management)")</f>
        <v>Estimates
(Project Management)</v>
      </c>
      <c r="F11" s="15" t="str">
        <f>IFERROR(__xludf.DUMMYFUNCTION("""COMPUTED_VALUE"""),"Optimistic estimates")</f>
        <v>Optimistic estimates</v>
      </c>
      <c r="G11" s="15" t="str">
        <f>IFERROR(__xludf.DUMMYFUNCTION("""COMPUTED_VALUE"""),"Sprint spillover")</f>
        <v>Sprint spillover</v>
      </c>
      <c r="H11" s="15" t="str">
        <f>IFERROR(__xludf.DUMMYFUNCTION("""COMPUTED_VALUE"""),"Mitigate: Re-estimate based on past sprints, add buffer for more critical tasks")</f>
        <v>Mitigate: Re-estimate based on past sprints, add buffer for more critical tasks</v>
      </c>
      <c r="I11" s="15" t="str">
        <f>IFERROR(__xludf.DUMMYFUNCTION("""COMPUTED_VALUE"""),"Nelly")</f>
        <v>Nelly</v>
      </c>
      <c r="J11" s="15" t="str">
        <f>IFERROR(__xludf.DUMMYFUNCTION("""COMPUTED_VALUE"""),"Likely")</f>
        <v>Likely</v>
      </c>
      <c r="K11" s="15" t="str">
        <f>IFERROR(__xludf.DUMMYFUNCTION("""COMPUTED_VALUE"""),"Moderate")</f>
        <v>Moderate</v>
      </c>
      <c r="L11" s="15" t="str">
        <f>IFERROR(__xludf.DUMMYFUNCTION("""COMPUTED_VALUE"""),"Monitoring")</f>
        <v>Monitoring</v>
      </c>
      <c r="M11" s="15"/>
      <c r="N11" s="15"/>
      <c r="O11" s="15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